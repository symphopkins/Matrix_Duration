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mphonyhopkins/Documents/Maryville_University/DSCI_501/Week_5/"/>
    </mc:Choice>
  </mc:AlternateContent>
  <xr:revisionPtr revIDLastSave="0" documentId="13_ncr:1_{318414F6-A45B-FA4A-BCF7-0B74D181FA7A}" xr6:coauthVersionLast="47" xr6:coauthVersionMax="47" xr10:uidLastSave="{00000000-0000-0000-0000-000000000000}"/>
  <bookViews>
    <workbookView xWindow="920" yWindow="500" windowWidth="14820" windowHeight="16360" xr2:uid="{D618E25B-AC1C-014D-A4F3-0DE48FA15B22}"/>
  </bookViews>
  <sheets>
    <sheet name="DurationM" sheetId="1" r:id="rId1"/>
    <sheet name="CalcM" sheetId="5" r:id="rId2"/>
  </sheets>
  <definedNames>
    <definedName name="_xlnm.Print_Titles" localSheetId="1">CalcM!$14:$20</definedName>
  </definedNames>
  <calcPr calcId="191029" iterate="1" iterateCount="10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 s="1"/>
  <c r="G4" i="5"/>
  <c r="G5" i="5"/>
  <c r="G16" i="5" l="1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21" i="5"/>
  <c r="G15" i="5"/>
  <c r="D21" i="5" l="1"/>
  <c r="D22" i="5" l="1"/>
  <c r="E21" i="5"/>
  <c r="F21" i="5" s="1"/>
  <c r="D23" i="5" l="1"/>
  <c r="E22" i="5"/>
  <c r="F22" i="5" s="1"/>
  <c r="G22" i="5" s="1"/>
  <c r="G21" i="5"/>
  <c r="D24" i="5" l="1"/>
  <c r="E23" i="5"/>
  <c r="F23" i="5" s="1"/>
  <c r="G23" i="5" s="1"/>
  <c r="E24" i="5" l="1"/>
  <c r="F24" i="5" s="1"/>
  <c r="G24" i="5" s="1"/>
  <c r="D25" i="5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E25" i="5" l="1"/>
  <c r="F25" i="5" s="1"/>
  <c r="G25" i="5" s="1"/>
  <c r="D26" i="5"/>
  <c r="E26" i="5" l="1"/>
  <c r="F26" i="5" s="1"/>
  <c r="G26" i="5" s="1"/>
  <c r="D27" i="5"/>
  <c r="D28" i="5" l="1"/>
  <c r="E27" i="5"/>
  <c r="F27" i="5" s="1"/>
  <c r="G27" i="5" s="1"/>
  <c r="E28" i="5" l="1"/>
  <c r="F28" i="5" s="1"/>
  <c r="G28" i="5" s="1"/>
  <c r="D29" i="5"/>
  <c r="D30" i="5" l="1"/>
  <c r="E29" i="5"/>
  <c r="F29" i="5" s="1"/>
  <c r="G29" i="5" s="1"/>
  <c r="D31" i="5" l="1"/>
  <c r="E30" i="5"/>
  <c r="F30" i="5" s="1"/>
  <c r="G30" i="5" s="1"/>
  <c r="D32" i="5" l="1"/>
  <c r="E31" i="5"/>
  <c r="F31" i="5" s="1"/>
  <c r="G31" i="5" s="1"/>
  <c r="D33" i="5" l="1"/>
  <c r="E32" i="5"/>
  <c r="F32" i="5" s="1"/>
  <c r="G32" i="5" s="1"/>
  <c r="D34" i="5" l="1"/>
  <c r="E33" i="5"/>
  <c r="F33" i="5" s="1"/>
  <c r="G33" i="5" s="1"/>
  <c r="E34" i="5" l="1"/>
  <c r="F34" i="5" s="1"/>
  <c r="G34" i="5" s="1"/>
  <c r="D35" i="5"/>
  <c r="D36" i="5" l="1"/>
  <c r="E35" i="5"/>
  <c r="F35" i="5" s="1"/>
  <c r="G35" i="5" s="1"/>
  <c r="E36" i="5" l="1"/>
  <c r="F36" i="5" s="1"/>
  <c r="G36" i="5" s="1"/>
  <c r="D37" i="5"/>
  <c r="E37" i="5" l="1"/>
  <c r="F37" i="5" s="1"/>
  <c r="G37" i="5" s="1"/>
  <c r="D38" i="5"/>
  <c r="E38" i="5" l="1"/>
  <c r="F38" i="5" s="1"/>
  <c r="G38" i="5" s="1"/>
  <c r="D39" i="5"/>
  <c r="D40" i="5" l="1"/>
  <c r="E39" i="5"/>
  <c r="F39" i="5" s="1"/>
  <c r="G39" i="5" s="1"/>
  <c r="E40" i="5" l="1"/>
  <c r="F40" i="5" s="1"/>
  <c r="G40" i="5" s="1"/>
  <c r="D41" i="5"/>
  <c r="D42" i="5" l="1"/>
  <c r="E41" i="5"/>
  <c r="F41" i="5" s="1"/>
  <c r="G41" i="5" s="1"/>
  <c r="E42" i="5" l="1"/>
  <c r="F42" i="5" s="1"/>
  <c r="G42" i="5" s="1"/>
  <c r="D43" i="5"/>
  <c r="D44" i="5" l="1"/>
  <c r="E43" i="5"/>
  <c r="F43" i="5" s="1"/>
  <c r="G43" i="5" s="1"/>
  <c r="E44" i="5" l="1"/>
  <c r="F44" i="5" s="1"/>
  <c r="G44" i="5" s="1"/>
  <c r="D45" i="5"/>
  <c r="E45" i="5" l="1"/>
  <c r="F45" i="5" s="1"/>
  <c r="G45" i="5" s="1"/>
  <c r="D46" i="5"/>
  <c r="E46" i="5" l="1"/>
  <c r="F46" i="5" s="1"/>
  <c r="G46" i="5" s="1"/>
  <c r="D47" i="5"/>
  <c r="D48" i="5" l="1"/>
  <c r="E47" i="5"/>
  <c r="F47" i="5" s="1"/>
  <c r="G47" i="5" s="1"/>
  <c r="E48" i="5" l="1"/>
  <c r="F48" i="5" s="1"/>
  <c r="G48" i="5" s="1"/>
  <c r="D49" i="5"/>
  <c r="D50" i="5" l="1"/>
  <c r="E49" i="5"/>
  <c r="F49" i="5" s="1"/>
  <c r="G49" i="5" s="1"/>
  <c r="E50" i="5" l="1"/>
  <c r="F50" i="5" s="1"/>
  <c r="G50" i="5" s="1"/>
  <c r="D51" i="5"/>
  <c r="E51" i="5" l="1"/>
  <c r="F51" i="5" s="1"/>
  <c r="G51" i="5" s="1"/>
  <c r="D52" i="5"/>
  <c r="E52" i="5" l="1"/>
  <c r="F52" i="5" s="1"/>
  <c r="G52" i="5" s="1"/>
  <c r="D53" i="5"/>
  <c r="D54" i="5" l="1"/>
  <c r="E53" i="5"/>
  <c r="F53" i="5" s="1"/>
  <c r="G53" i="5" s="1"/>
  <c r="E54" i="5" l="1"/>
  <c r="F54" i="5" s="1"/>
  <c r="G54" i="5" s="1"/>
  <c r="D55" i="5"/>
  <c r="D56" i="5" l="1"/>
  <c r="E55" i="5"/>
  <c r="F55" i="5" s="1"/>
  <c r="G55" i="5" s="1"/>
  <c r="E56" i="5" l="1"/>
  <c r="F56" i="5" s="1"/>
  <c r="G56" i="5" s="1"/>
  <c r="D57" i="5"/>
  <c r="D58" i="5" l="1"/>
  <c r="E57" i="5"/>
  <c r="F57" i="5" s="1"/>
  <c r="G57" i="5" s="1"/>
  <c r="E58" i="5" l="1"/>
  <c r="F58" i="5" s="1"/>
  <c r="G58" i="5" s="1"/>
  <c r="D59" i="5"/>
  <c r="D60" i="5" l="1"/>
  <c r="E59" i="5"/>
  <c r="F59" i="5" s="1"/>
  <c r="G59" i="5" s="1"/>
  <c r="E60" i="5" l="1"/>
  <c r="F60" i="5" s="1"/>
  <c r="G60" i="5" s="1"/>
  <c r="D61" i="5"/>
  <c r="D62" i="5" l="1"/>
  <c r="E61" i="5"/>
  <c r="F61" i="5" s="1"/>
  <c r="G61" i="5" s="1"/>
  <c r="E62" i="5" l="1"/>
  <c r="F62" i="5" s="1"/>
  <c r="G62" i="5" s="1"/>
  <c r="D63" i="5"/>
  <c r="D64" i="5" l="1"/>
  <c r="E63" i="5"/>
  <c r="F63" i="5" s="1"/>
  <c r="G63" i="5" s="1"/>
  <c r="E64" i="5" l="1"/>
  <c r="F64" i="5" s="1"/>
  <c r="G64" i="5" s="1"/>
  <c r="D65" i="5"/>
  <c r="D66" i="5" l="1"/>
  <c r="E65" i="5"/>
  <c r="F65" i="5" s="1"/>
  <c r="G65" i="5" s="1"/>
  <c r="E66" i="5" l="1"/>
  <c r="F66" i="5" s="1"/>
  <c r="G66" i="5" s="1"/>
  <c r="D67" i="5"/>
  <c r="D68" i="5" l="1"/>
  <c r="E67" i="5"/>
  <c r="F67" i="5" s="1"/>
  <c r="G67" i="5" s="1"/>
  <c r="D69" i="5" l="1"/>
  <c r="E68" i="5"/>
  <c r="F68" i="5" s="1"/>
  <c r="G68" i="5" s="1"/>
  <c r="D70" i="5" l="1"/>
  <c r="E69" i="5"/>
  <c r="F69" i="5" s="1"/>
  <c r="G69" i="5" s="1"/>
  <c r="E70" i="5" l="1"/>
  <c r="F70" i="5" s="1"/>
  <c r="G70" i="5" s="1"/>
  <c r="D71" i="5"/>
  <c r="E71" i="5" l="1"/>
  <c r="F71" i="5" s="1"/>
  <c r="G71" i="5" s="1"/>
  <c r="D72" i="5"/>
  <c r="D73" i="5" l="1"/>
  <c r="E72" i="5"/>
  <c r="F72" i="5" s="1"/>
  <c r="G72" i="5" s="1"/>
  <c r="E73" i="5" l="1"/>
  <c r="F73" i="5" s="1"/>
  <c r="G73" i="5" s="1"/>
  <c r="D74" i="5"/>
  <c r="D75" i="5" l="1"/>
  <c r="E74" i="5"/>
  <c r="F74" i="5" s="1"/>
  <c r="G74" i="5" s="1"/>
  <c r="D76" i="5" l="1"/>
  <c r="E75" i="5"/>
  <c r="F75" i="5" s="1"/>
  <c r="G75" i="5" s="1"/>
  <c r="D77" i="5" l="1"/>
  <c r="E76" i="5"/>
  <c r="F76" i="5" s="1"/>
  <c r="G76" i="5" s="1"/>
  <c r="D78" i="5" l="1"/>
  <c r="E77" i="5"/>
  <c r="F77" i="5" s="1"/>
  <c r="G77" i="5" s="1"/>
  <c r="E78" i="5" l="1"/>
  <c r="F78" i="5" s="1"/>
  <c r="G78" i="5" s="1"/>
  <c r="D79" i="5"/>
  <c r="D80" i="5" l="1"/>
  <c r="E79" i="5"/>
  <c r="F79" i="5" s="1"/>
  <c r="G79" i="5" s="1"/>
  <c r="D81" i="5" l="1"/>
  <c r="E80" i="5"/>
  <c r="F80" i="5" s="1"/>
  <c r="G80" i="5" s="1"/>
  <c r="D82" i="5" l="1"/>
  <c r="E81" i="5"/>
  <c r="F81" i="5" s="1"/>
  <c r="G81" i="5" s="1"/>
  <c r="E82" i="5" l="1"/>
  <c r="F82" i="5" s="1"/>
  <c r="G82" i="5" s="1"/>
  <c r="D83" i="5"/>
  <c r="D84" i="5" l="1"/>
  <c r="E83" i="5"/>
  <c r="F83" i="5" s="1"/>
  <c r="G83" i="5" s="1"/>
  <c r="E84" i="5" l="1"/>
  <c r="F84" i="5" s="1"/>
  <c r="G84" i="5" s="1"/>
  <c r="D85" i="5"/>
  <c r="D86" i="5" l="1"/>
  <c r="E85" i="5"/>
  <c r="F85" i="5" s="1"/>
  <c r="G85" i="5" s="1"/>
  <c r="E86" i="5" l="1"/>
  <c r="F86" i="5" s="1"/>
  <c r="G86" i="5" s="1"/>
  <c r="D87" i="5"/>
  <c r="E87" i="5" l="1"/>
  <c r="F87" i="5" s="1"/>
  <c r="G87" i="5" s="1"/>
  <c r="D88" i="5"/>
  <c r="D89" i="5" l="1"/>
  <c r="E88" i="5"/>
  <c r="F88" i="5" s="1"/>
  <c r="G88" i="5" s="1"/>
  <c r="D90" i="5" l="1"/>
  <c r="E89" i="5"/>
  <c r="F89" i="5" s="1"/>
  <c r="G89" i="5" s="1"/>
  <c r="E90" i="5" l="1"/>
  <c r="F90" i="5" s="1"/>
  <c r="G90" i="5" s="1"/>
  <c r="D91" i="5"/>
  <c r="D92" i="5" l="1"/>
  <c r="E91" i="5"/>
  <c r="F91" i="5" s="1"/>
  <c r="G91" i="5" s="1"/>
  <c r="E92" i="5" l="1"/>
  <c r="F92" i="5" s="1"/>
  <c r="G92" i="5" s="1"/>
  <c r="D93" i="5"/>
  <c r="D94" i="5" l="1"/>
  <c r="E93" i="5"/>
  <c r="F93" i="5" s="1"/>
  <c r="G93" i="5" s="1"/>
  <c r="E94" i="5" l="1"/>
  <c r="F94" i="5" s="1"/>
  <c r="G94" i="5" s="1"/>
  <c r="D95" i="5"/>
  <c r="D96" i="5" l="1"/>
  <c r="E95" i="5"/>
  <c r="F95" i="5" s="1"/>
  <c r="G95" i="5" s="1"/>
  <c r="E96" i="5" l="1"/>
  <c r="F96" i="5" s="1"/>
  <c r="G96" i="5" s="1"/>
  <c r="D97" i="5"/>
  <c r="D98" i="5" l="1"/>
  <c r="E97" i="5"/>
  <c r="F97" i="5" s="1"/>
  <c r="G97" i="5" s="1"/>
  <c r="D99" i="5" l="1"/>
  <c r="E98" i="5"/>
  <c r="F98" i="5" s="1"/>
  <c r="G98" i="5" s="1"/>
  <c r="D100" i="5" l="1"/>
  <c r="E99" i="5"/>
  <c r="F99" i="5" s="1"/>
  <c r="G99" i="5" s="1"/>
  <c r="E100" i="5" l="1"/>
  <c r="F100" i="5" s="1"/>
  <c r="G100" i="5" s="1"/>
  <c r="D101" i="5"/>
  <c r="D102" i="5" l="1"/>
  <c r="E101" i="5"/>
  <c r="F101" i="5" s="1"/>
  <c r="G101" i="5" s="1"/>
  <c r="E102" i="5" l="1"/>
  <c r="F102" i="5" s="1"/>
  <c r="G102" i="5" s="1"/>
  <c r="D103" i="5"/>
  <c r="D104" i="5" l="1"/>
  <c r="E103" i="5"/>
  <c r="F103" i="5" s="1"/>
  <c r="G103" i="5" s="1"/>
  <c r="E104" i="5" l="1"/>
  <c r="F104" i="5" s="1"/>
  <c r="G104" i="5" s="1"/>
  <c r="D105" i="5"/>
  <c r="E105" i="5" l="1"/>
  <c r="F105" i="5" s="1"/>
  <c r="G105" i="5" s="1"/>
  <c r="D106" i="5"/>
  <c r="E106" i="5" l="1"/>
  <c r="F106" i="5" s="1"/>
  <c r="G106" i="5" s="1"/>
  <c r="D107" i="5"/>
  <c r="D108" i="5" l="1"/>
  <c r="E107" i="5"/>
  <c r="F107" i="5" s="1"/>
  <c r="G107" i="5" s="1"/>
  <c r="E108" i="5" l="1"/>
  <c r="F108" i="5" s="1"/>
  <c r="G108" i="5" s="1"/>
  <c r="D109" i="5"/>
  <c r="D110" i="5" l="1"/>
  <c r="E109" i="5"/>
  <c r="F109" i="5" s="1"/>
  <c r="G109" i="5" s="1"/>
  <c r="D111" i="5" l="1"/>
  <c r="E110" i="5"/>
  <c r="F110" i="5" s="1"/>
  <c r="G110" i="5" s="1"/>
  <c r="D112" i="5" l="1"/>
  <c r="E111" i="5"/>
  <c r="F111" i="5" s="1"/>
  <c r="G111" i="5" s="1"/>
  <c r="D113" i="5" l="1"/>
  <c r="E112" i="5"/>
  <c r="F112" i="5" s="1"/>
  <c r="G112" i="5" s="1"/>
  <c r="D114" i="5" l="1"/>
  <c r="E113" i="5"/>
  <c r="F113" i="5" s="1"/>
  <c r="G113" i="5" s="1"/>
  <c r="E114" i="5" l="1"/>
  <c r="F114" i="5" s="1"/>
  <c r="G114" i="5" s="1"/>
  <c r="D115" i="5"/>
  <c r="E115" i="5" l="1"/>
  <c r="F115" i="5" s="1"/>
  <c r="G115" i="5" s="1"/>
  <c r="D116" i="5"/>
  <c r="E116" i="5" l="1"/>
  <c r="F116" i="5" s="1"/>
  <c r="G116" i="5" s="1"/>
  <c r="D117" i="5"/>
  <c r="D118" i="5" l="1"/>
  <c r="E117" i="5"/>
  <c r="F117" i="5" s="1"/>
  <c r="G117" i="5" s="1"/>
  <c r="E118" i="5" l="1"/>
  <c r="F118" i="5" s="1"/>
  <c r="G118" i="5" s="1"/>
  <c r="D119" i="5"/>
  <c r="D120" i="5" l="1"/>
  <c r="E119" i="5"/>
  <c r="F119" i="5" s="1"/>
  <c r="G119" i="5" s="1"/>
  <c r="D121" i="5" l="1"/>
  <c r="E120" i="5"/>
  <c r="F120" i="5" s="1"/>
  <c r="G120" i="5" s="1"/>
  <c r="D122" i="5" l="1"/>
  <c r="E121" i="5"/>
  <c r="F121" i="5" s="1"/>
  <c r="G121" i="5" s="1"/>
  <c r="D123" i="5" l="1"/>
  <c r="E122" i="5"/>
  <c r="F122" i="5" s="1"/>
  <c r="G122" i="5" s="1"/>
  <c r="D124" i="5" l="1"/>
  <c r="E123" i="5"/>
  <c r="F123" i="5" s="1"/>
  <c r="G123" i="5" s="1"/>
  <c r="E124" i="5" l="1"/>
  <c r="F124" i="5" s="1"/>
  <c r="G124" i="5" s="1"/>
  <c r="D125" i="5"/>
  <c r="E125" i="5" l="1"/>
  <c r="F125" i="5" s="1"/>
  <c r="G125" i="5" s="1"/>
  <c r="D126" i="5"/>
  <c r="E126" i="5" l="1"/>
  <c r="F126" i="5" s="1"/>
  <c r="G126" i="5" s="1"/>
  <c r="D127" i="5"/>
  <c r="D128" i="5" l="1"/>
  <c r="E127" i="5"/>
  <c r="F127" i="5" s="1"/>
  <c r="G127" i="5" s="1"/>
  <c r="E128" i="5" l="1"/>
  <c r="F128" i="5" s="1"/>
  <c r="G128" i="5" s="1"/>
  <c r="D129" i="5"/>
  <c r="D130" i="5" l="1"/>
  <c r="E129" i="5"/>
  <c r="F129" i="5" s="1"/>
  <c r="G129" i="5" s="1"/>
  <c r="E130" i="5" l="1"/>
  <c r="F130" i="5" s="1"/>
  <c r="G130" i="5" s="1"/>
  <c r="D131" i="5"/>
  <c r="E131" i="5" l="1"/>
  <c r="F131" i="5" s="1"/>
  <c r="G131" i="5" s="1"/>
  <c r="D132" i="5"/>
  <c r="D133" i="5" l="1"/>
  <c r="E132" i="5"/>
  <c r="F132" i="5" s="1"/>
  <c r="G132" i="5" s="1"/>
  <c r="D134" i="5" l="1"/>
  <c r="E133" i="5"/>
  <c r="F133" i="5" s="1"/>
  <c r="G133" i="5" s="1"/>
  <c r="D135" i="5" l="1"/>
  <c r="E134" i="5"/>
  <c r="F134" i="5" s="1"/>
  <c r="G134" i="5" s="1"/>
  <c r="D136" i="5" l="1"/>
  <c r="E135" i="5"/>
  <c r="F135" i="5" s="1"/>
  <c r="G135" i="5" s="1"/>
  <c r="D137" i="5" l="1"/>
  <c r="E136" i="5"/>
  <c r="F136" i="5" s="1"/>
  <c r="G136" i="5" s="1"/>
  <c r="E137" i="5" l="1"/>
  <c r="F137" i="5" s="1"/>
  <c r="G137" i="5" s="1"/>
  <c r="D138" i="5"/>
  <c r="E138" i="5" l="1"/>
  <c r="F138" i="5" s="1"/>
  <c r="G138" i="5" s="1"/>
  <c r="D139" i="5"/>
  <c r="D140" i="5" l="1"/>
  <c r="E139" i="5"/>
  <c r="F139" i="5" s="1"/>
  <c r="G139" i="5" l="1"/>
  <c r="E140" i="5"/>
  <c r="E20" i="5" s="1"/>
  <c r="G9" i="5" s="1"/>
  <c r="F140" i="5" l="1"/>
  <c r="G140" i="5" s="1"/>
  <c r="G20" i="5" s="1"/>
  <c r="G12" i="5" s="1"/>
  <c r="F20" i="5"/>
  <c r="G10" i="5" s="1"/>
  <c r="E10" i="1" s="1" a="1"/>
  <c r="E10" i="1" s="1"/>
  <c r="G11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<sst xmlns="http://schemas.openxmlformats.org/spreadsheetml/2006/main" count="47" uniqueCount="42">
  <si>
    <t>Year</t>
  </si>
  <si>
    <t>Benefit CF</t>
  </si>
  <si>
    <t>First Discount Rate in Duration Table (Default is 5%)</t>
  </si>
  <si>
    <t>Timing of Benefit Payments (1=EOY, 0.5=MOY (default), 0=BOY)</t>
  </si>
  <si>
    <t>Input Section of Duration Calculation</t>
  </si>
  <si>
    <t>Duration and Convexity</t>
  </si>
  <si>
    <t>Interest</t>
  </si>
  <si>
    <t>D=Duration</t>
  </si>
  <si>
    <t>D*=Effective Duration</t>
  </si>
  <si>
    <t>Effective Convexity</t>
  </si>
  <si>
    <t>D = Duration</t>
  </si>
  <si>
    <t>Effective Maturity by Frederick Macaulay</t>
  </si>
  <si>
    <t>Weighted Average of the times to each coupon or principal payment made by the bond.</t>
  </si>
  <si>
    <t>The duration of the zero-coupon bond is exactly equal to its time to maturity</t>
  </si>
  <si>
    <t>D* = Eff. Duration</t>
  </si>
  <si>
    <t>Effective Duration or Modified Duration</t>
  </si>
  <si>
    <t>Sensitivity of security price to interest rate change</t>
  </si>
  <si>
    <t>Percentage change in security price is just a byproduct of the effective duration</t>
  </si>
  <si>
    <t xml:space="preserve">       and the change in the security yield to maturity</t>
  </si>
  <si>
    <t>Relation of D and D*</t>
  </si>
  <si>
    <t>Effective duration = Duration / (1+i) or Duration = Effective Duration * (1+i)</t>
  </si>
  <si>
    <t>=(PriceDown - PriceUp) / (Price * Delta) = - (Price Derivative) / Price</t>
  </si>
  <si>
    <t>=(PriceDown - 2*Price + PriceUp) / (P * Delta^2)</t>
  </si>
  <si>
    <t>index dummy</t>
  </si>
  <si>
    <t>interest dummy</t>
  </si>
  <si>
    <t>Timing</t>
  </si>
  <si>
    <t>Discount Rate</t>
  </si>
  <si>
    <t>P = Present Value</t>
  </si>
  <si>
    <t>D* = Effective Duration</t>
  </si>
  <si>
    <t>Timing of Benefit Payments (1=EOY, 0.5=MOY, 0=BOY)</t>
  </si>
  <si>
    <t>Duration Input Section</t>
  </si>
  <si>
    <t>Duration Output Summary</t>
  </si>
  <si>
    <t>Duration Calculation Details</t>
  </si>
  <si>
    <t>Discounted Values</t>
  </si>
  <si>
    <t>Input Benefits</t>
  </si>
  <si>
    <t>P(i)</t>
  </si>
  <si>
    <t>t*P(i)</t>
  </si>
  <si>
    <t>t*(t_1)*P(i)</t>
  </si>
  <si>
    <t>Total</t>
  </si>
  <si>
    <t>Increment in Discount Rate in Duration Table (Default is 0.25%)</t>
  </si>
  <si>
    <t>Week 5 - Hopkins_Symphony_Matrix_Duration.xlsx</t>
  </si>
  <si>
    <t>DurationM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</si>
</sst>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\-"/>
    <numFmt numFmtId="165" formatCode="0.0000"/>
    <numFmt numFmtId="166" formatCode="0.000000"/>
    <numFmt numFmtId="167" formatCode="m/d/yyyy;@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quotePrefix="1"/>
    <xf numFmtId="0" fontId="3" fillId="0" borderId="0" xfId="0" applyFont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0" fillId="2" borderId="0" xfId="0" applyNumberFormat="1" applyFill="1"/>
    <xf numFmtId="10" fontId="0" fillId="6" borderId="0" xfId="0" applyNumberFormat="1" applyFill="1"/>
    <xf numFmtId="0" fontId="10" fillId="0" borderId="5" xfId="0" applyFont="1" applyBorder="1"/>
    <xf numFmtId="3" fontId="10" fillId="0" borderId="7" xfId="0" applyNumberFormat="1" applyFont="1" applyBorder="1"/>
    <xf numFmtId="0" fontId="10" fillId="0" borderId="8" xfId="0" applyFont="1" applyBorder="1"/>
    <xf numFmtId="165" fontId="10" fillId="0" borderId="9" xfId="0" applyNumberFormat="1" applyFont="1" applyBorder="1"/>
    <xf numFmtId="0" fontId="10" fillId="0" borderId="10" xfId="0" applyFont="1" applyBorder="1"/>
    <xf numFmtId="165" fontId="10" fillId="0" borderId="12" xfId="0" applyNumberFormat="1" applyFont="1" applyBorder="1"/>
    <xf numFmtId="0" fontId="11" fillId="0" borderId="0" xfId="0" applyFont="1"/>
    <xf numFmtId="9" fontId="11" fillId="0" borderId="0" xfId="2" applyFont="1"/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4" fillId="0" borderId="0" xfId="0" applyNumberFormat="1" applyFont="1"/>
    <xf numFmtId="2" fontId="0" fillId="6" borderId="0" xfId="0" applyNumberFormat="1" applyFill="1"/>
    <xf numFmtId="166" fontId="2" fillId="0" borderId="1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0" fontId="3" fillId="0" borderId="2" xfId="1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10" fontId="0" fillId="2" borderId="9" xfId="1" applyNumberFormat="1" applyFont="1" applyFill="1" applyBorder="1"/>
    <xf numFmtId="10" fontId="0" fillId="2" borderId="9" xfId="0" applyNumberFormat="1" applyFill="1" applyBorder="1"/>
    <xf numFmtId="0" fontId="0" fillId="0" borderId="0" xfId="0" applyAlignment="1">
      <alignment horizontal="left"/>
    </xf>
    <xf numFmtId="18" fontId="0" fillId="0" borderId="0" xfId="0" applyNumberFormat="1"/>
    <xf numFmtId="167" fontId="0" fillId="0" borderId="0" xfId="0" applyNumberFormat="1"/>
    <xf numFmtId="164" fontId="0" fillId="2" borderId="9" xfId="0" applyNumberFormat="1" applyFill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0" xfId="0" applyFont="1"/>
    <xf numFmtId="10" fontId="0" fillId="0" borderId="0" xfId="0" applyNumberFormat="1" applyFont="1"/>
  </cellXfs>
  <cellStyles count="3">
    <cellStyle name="Normal" xfId="0" builtinId="0"/>
    <cellStyle name="Percent" xfId="1" builtinId="5"/>
    <cellStyle name="Percent 2" xfId="2" xr:uid="{39772DB7-23D1-3E42-8050-76C5B6A214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C3B9-FCD4-AD41-A723-5B2A5F91D599}">
  <sheetPr>
    <pageSetUpPr fitToPage="1"/>
  </sheetPr>
  <dimension ref="B1:M126"/>
  <sheetViews>
    <sheetView tabSelected="1" topLeftCell="C1" workbookViewId="0">
      <selection activeCell="H10" sqref="H10"/>
    </sheetView>
  </sheetViews>
  <sheetFormatPr baseColWidth="10" defaultRowHeight="16" x14ac:dyDescent="0.2"/>
  <cols>
    <col min="1" max="1" width="3.5" customWidth="1"/>
    <col min="2" max="2" width="10.83203125" style="1"/>
    <col min="3" max="3" width="13.1640625" style="2" customWidth="1"/>
    <col min="4" max="4" width="3" customWidth="1"/>
    <col min="5" max="5" width="20.5" customWidth="1"/>
    <col min="6" max="6" width="26.1640625" customWidth="1"/>
    <col min="7" max="7" width="19.83203125" customWidth="1"/>
    <col min="8" max="8" width="20.83203125" customWidth="1"/>
  </cols>
  <sheetData>
    <row r="1" spans="2:13" ht="17" thickBot="1" x14ac:dyDescent="0.25"/>
    <row r="2" spans="2:13" ht="17" thickBot="1" x14ac:dyDescent="0.25">
      <c r="B2" s="15" t="s">
        <v>0</v>
      </c>
      <c r="C2" s="16" t="s">
        <v>1</v>
      </c>
      <c r="E2" s="46" t="s">
        <v>4</v>
      </c>
      <c r="F2" s="47"/>
      <c r="G2" s="47"/>
      <c r="H2" s="48"/>
    </row>
    <row r="3" spans="2:13" x14ac:dyDescent="0.2">
      <c r="B3" s="1">
        <v>1</v>
      </c>
      <c r="C3" s="17">
        <v>11683622</v>
      </c>
      <c r="E3" s="3"/>
      <c r="F3" s="4"/>
      <c r="G3" s="4"/>
      <c r="H3" s="5"/>
    </row>
    <row r="4" spans="2:13" x14ac:dyDescent="0.2">
      <c r="B4" s="1">
        <f>B3+1</f>
        <v>2</v>
      </c>
      <c r="C4" s="17">
        <v>12282307</v>
      </c>
      <c r="E4" s="6" t="s">
        <v>2</v>
      </c>
      <c r="H4" s="40">
        <v>5.2499999999999998E-2</v>
      </c>
    </row>
    <row r="5" spans="2:13" x14ac:dyDescent="0.2">
      <c r="B5" s="1">
        <f t="shared" ref="B5:B68" si="0">B4+1</f>
        <v>3</v>
      </c>
      <c r="C5" s="17">
        <v>12930973</v>
      </c>
      <c r="E5" s="6" t="s">
        <v>39</v>
      </c>
      <c r="H5" s="41">
        <v>2.5000000000000001E-3</v>
      </c>
    </row>
    <row r="6" spans="2:13" x14ac:dyDescent="0.2">
      <c r="B6" s="1">
        <f t="shared" si="0"/>
        <v>4</v>
      </c>
      <c r="C6" s="17">
        <v>13693816</v>
      </c>
      <c r="E6" s="6" t="s">
        <v>3</v>
      </c>
      <c r="H6" s="45">
        <v>0</v>
      </c>
    </row>
    <row r="7" spans="2:13" ht="17" thickBot="1" x14ac:dyDescent="0.25">
      <c r="B7" s="1">
        <f t="shared" si="0"/>
        <v>5</v>
      </c>
      <c r="C7" s="17">
        <v>14783907</v>
      </c>
      <c r="E7" s="7"/>
      <c r="F7" s="8"/>
      <c r="G7" s="8"/>
      <c r="H7" s="9"/>
    </row>
    <row r="8" spans="2:13" ht="17" thickBot="1" x14ac:dyDescent="0.25">
      <c r="B8" s="1">
        <f t="shared" si="0"/>
        <v>6</v>
      </c>
      <c r="C8" s="17">
        <v>15864835</v>
      </c>
      <c r="E8" s="49" t="s">
        <v>5</v>
      </c>
      <c r="F8" s="50"/>
      <c r="G8" s="50"/>
      <c r="H8" s="51"/>
    </row>
    <row r="9" spans="2:13" x14ac:dyDescent="0.2">
      <c r="B9" s="1">
        <f t="shared" si="0"/>
        <v>7</v>
      </c>
      <c r="C9" s="17">
        <v>16977187</v>
      </c>
      <c r="E9" s="10" t="s">
        <v>6</v>
      </c>
      <c r="F9" s="11" t="s">
        <v>7</v>
      </c>
      <c r="G9" s="11" t="s">
        <v>8</v>
      </c>
      <c r="H9" s="12" t="s">
        <v>9</v>
      </c>
      <c r="J9" s="64"/>
      <c r="K9" s="64"/>
      <c r="L9" s="64"/>
      <c r="M9" s="64"/>
    </row>
    <row r="10" spans="2:13" ht="17" thickBot="1" x14ac:dyDescent="0.25">
      <c r="B10" s="1">
        <f t="shared" si="0"/>
        <v>8</v>
      </c>
      <c r="C10" s="17">
        <v>18260270</v>
      </c>
      <c r="E10" s="34" cm="1">
        <f t="array" ref="E10">INDEX(CalcM!G10:G12,L11)</f>
        <v>19.877122309531423</v>
      </c>
      <c r="F10" s="35">
        <v>1</v>
      </c>
      <c r="G10" s="35">
        <v>2</v>
      </c>
      <c r="H10" s="36">
        <v>3</v>
      </c>
      <c r="J10" s="64"/>
      <c r="K10" s="64"/>
      <c r="L10" s="64"/>
      <c r="M10" s="64"/>
    </row>
    <row r="11" spans="2:13" ht="17" thickBot="1" x14ac:dyDescent="0.25">
      <c r="B11" s="1">
        <f t="shared" si="0"/>
        <v>9</v>
      </c>
      <c r="C11" s="17">
        <v>19351600</v>
      </c>
      <c r="E11" s="37">
        <f>IF(H4="",5%,H4)</f>
        <v>5.2499999999999998E-2</v>
      </c>
      <c r="F11" s="38">
        <f t="dataTable" ref="F11:H24" dt2D="1" dtr="1" r1="L11" r2="L12"/>
        <v>19.533072116180765</v>
      </c>
      <c r="G11" s="38">
        <v>18.558738352665809</v>
      </c>
      <c r="H11" s="39">
        <v>491.88690934045815</v>
      </c>
      <c r="J11" s="64" t="s">
        <v>23</v>
      </c>
      <c r="K11" s="64"/>
      <c r="L11" s="64">
        <v>1</v>
      </c>
      <c r="M11" s="64"/>
    </row>
    <row r="12" spans="2:13" ht="17" thickBot="1" x14ac:dyDescent="0.25">
      <c r="B12" s="1">
        <f t="shared" si="0"/>
        <v>10</v>
      </c>
      <c r="C12" s="17">
        <v>20863277</v>
      </c>
      <c r="E12" s="37">
        <f>E11+IF($H$5="",0.25%,$H$5)</f>
        <v>5.5E-2</v>
      </c>
      <c r="F12" s="38">
        <v>19.193925194936234</v>
      </c>
      <c r="G12" s="38">
        <v>18.193294023636241</v>
      </c>
      <c r="H12" s="39">
        <v>475.89106505332626</v>
      </c>
      <c r="J12" s="64" t="s">
        <v>24</v>
      </c>
      <c r="K12" s="64"/>
      <c r="L12" s="65">
        <v>0.05</v>
      </c>
      <c r="M12" s="64"/>
    </row>
    <row r="13" spans="2:13" ht="17" thickBot="1" x14ac:dyDescent="0.25">
      <c r="B13" s="1">
        <f t="shared" si="0"/>
        <v>11</v>
      </c>
      <c r="C13" s="17">
        <v>22579574</v>
      </c>
      <c r="E13" s="37">
        <f t="shared" ref="E13:E22" si="1">E12+IF($H$5="",0.25%,$H$5)</f>
        <v>5.7500000000000002E-2</v>
      </c>
      <c r="F13" s="38">
        <v>18.859732886958632</v>
      </c>
      <c r="G13" s="38">
        <v>17.834262777265845</v>
      </c>
      <c r="H13" s="39">
        <v>460.39100772664682</v>
      </c>
      <c r="J13" s="64"/>
      <c r="K13" s="64"/>
      <c r="L13" s="64"/>
      <c r="M13" s="64"/>
    </row>
    <row r="14" spans="2:13" ht="17" thickBot="1" x14ac:dyDescent="0.25">
      <c r="B14" s="1">
        <f t="shared" si="0"/>
        <v>12</v>
      </c>
      <c r="C14" s="17">
        <v>24504101</v>
      </c>
      <c r="E14" s="37">
        <f t="shared" si="1"/>
        <v>6.0000000000000005E-2</v>
      </c>
      <c r="F14" s="38">
        <v>18.530540128201483</v>
      </c>
      <c r="G14" s="38">
        <v>17.481641630378757</v>
      </c>
      <c r="H14" s="39">
        <v>445.37523141812636</v>
      </c>
      <c r="J14" s="64"/>
      <c r="K14" s="64"/>
      <c r="L14" s="64"/>
      <c r="M14" s="64"/>
    </row>
    <row r="15" spans="2:13" ht="17" thickBot="1" x14ac:dyDescent="0.25">
      <c r="B15" s="1">
        <f t="shared" si="0"/>
        <v>13</v>
      </c>
      <c r="C15" s="17">
        <v>26318482</v>
      </c>
      <c r="E15" s="37">
        <f t="shared" si="1"/>
        <v>6.25E-2</v>
      </c>
      <c r="F15" s="38">
        <v>18.206385463568601</v>
      </c>
      <c r="G15" s="38">
        <v>17.135421612770447</v>
      </c>
      <c r="H15" s="39">
        <v>430.83224143633373</v>
      </c>
      <c r="J15" s="64"/>
      <c r="K15" s="64"/>
      <c r="L15" s="64"/>
      <c r="M15" s="64"/>
    </row>
    <row r="16" spans="2:13" ht="17" thickBot="1" x14ac:dyDescent="0.25">
      <c r="B16" s="1">
        <f t="shared" si="0"/>
        <v>14</v>
      </c>
      <c r="C16" s="17">
        <v>28300403</v>
      </c>
      <c r="E16" s="37">
        <f t="shared" si="1"/>
        <v>6.5000000000000002E-2</v>
      </c>
      <c r="F16" s="38">
        <v>17.887301086867566</v>
      </c>
      <c r="G16" s="38">
        <v>16.795587874993021</v>
      </c>
      <c r="H16" s="39">
        <v>416.75056898307724</v>
      </c>
      <c r="J16" s="64"/>
      <c r="K16" s="64"/>
      <c r="L16" s="64"/>
      <c r="M16" s="64"/>
    </row>
    <row r="17" spans="2:13" ht="17" thickBot="1" x14ac:dyDescent="0.25">
      <c r="B17" s="1">
        <f t="shared" si="0"/>
        <v>15</v>
      </c>
      <c r="C17" s="17">
        <v>30563624</v>
      </c>
      <c r="E17" s="37">
        <f t="shared" si="1"/>
        <v>6.7500000000000004E-2</v>
      </c>
      <c r="F17" s="38">
        <v>17.573312905468701</v>
      </c>
      <c r="G17" s="38">
        <v>16.462119817769278</v>
      </c>
      <c r="H17" s="39">
        <v>403.11878551830654</v>
      </c>
      <c r="J17" s="64"/>
      <c r="K17" s="64"/>
      <c r="L17" s="64"/>
      <c r="M17" s="64"/>
    </row>
    <row r="18" spans="2:13" ht="17" thickBot="1" x14ac:dyDescent="0.25">
      <c r="B18" s="1">
        <f t="shared" si="0"/>
        <v>16</v>
      </c>
      <c r="C18" s="17">
        <v>32754109</v>
      </c>
      <c r="E18" s="37">
        <f t="shared" si="1"/>
        <v>7.0000000000000007E-2</v>
      </c>
      <c r="F18" s="38">
        <v>17.26444062840773</v>
      </c>
      <c r="G18" s="38">
        <v>16.134991241502551</v>
      </c>
      <c r="H18" s="39">
        <v>389.92551678287708</v>
      </c>
      <c r="J18" s="64"/>
      <c r="K18" s="64"/>
      <c r="L18" s="64"/>
      <c r="M18" s="64"/>
    </row>
    <row r="19" spans="2:13" ht="17" thickBot="1" x14ac:dyDescent="0.25">
      <c r="B19" s="1">
        <f t="shared" si="0"/>
        <v>17</v>
      </c>
      <c r="C19" s="17">
        <v>34693405</v>
      </c>
      <c r="E19" s="37">
        <f t="shared" si="1"/>
        <v>7.2500000000000009E-2</v>
      </c>
      <c r="F19" s="38">
        <v>16.960697876521884</v>
      </c>
      <c r="G19" s="38">
        <v>15.814170514239519</v>
      </c>
      <c r="H19" s="39">
        <v>377.15945641836299</v>
      </c>
      <c r="J19" s="64"/>
      <c r="K19" s="64"/>
      <c r="L19" s="64"/>
      <c r="M19" s="64"/>
    </row>
    <row r="20" spans="2:13" ht="17" thickBot="1" x14ac:dyDescent="0.25">
      <c r="B20" s="1">
        <f t="shared" si="0"/>
        <v>18</v>
      </c>
      <c r="C20" s="17">
        <v>37158439</v>
      </c>
      <c r="E20" s="37">
        <f t="shared" si="1"/>
        <v>7.5000000000000011E-2</v>
      </c>
      <c r="F20" s="38">
        <v>16.662092313086138</v>
      </c>
      <c r="G20" s="38">
        <v>15.499620756359199</v>
      </c>
      <c r="H20" s="39">
        <v>364.80937912760163</v>
      </c>
      <c r="J20" s="64"/>
      <c r="K20" s="64"/>
      <c r="L20" s="64"/>
      <c r="M20" s="64"/>
    </row>
    <row r="21" spans="2:13" ht="17" thickBot="1" x14ac:dyDescent="0.25">
      <c r="B21" s="1">
        <f t="shared" si="0"/>
        <v>19</v>
      </c>
      <c r="C21" s="17">
        <v>39151446</v>
      </c>
      <c r="E21" s="37">
        <f t="shared" si="1"/>
        <v>7.7500000000000013E-2</v>
      </c>
      <c r="F21" s="38">
        <v>16.368625793318934</v>
      </c>
      <c r="G21" s="38">
        <v>15.191300040203185</v>
      </c>
      <c r="H21" s="39">
        <v>352.86415332464748</v>
      </c>
    </row>
    <row r="22" spans="2:13" ht="17" thickBot="1" x14ac:dyDescent="0.25">
      <c r="B22" s="1">
        <f t="shared" si="0"/>
        <v>20</v>
      </c>
      <c r="C22" s="17">
        <v>40880133</v>
      </c>
      <c r="E22" s="37">
        <f t="shared" si="1"/>
        <v>8.0000000000000016E-2</v>
      </c>
      <c r="F22" s="38">
        <v>16.08029453105231</v>
      </c>
      <c r="G22" s="38">
        <v>14.889161602826212</v>
      </c>
      <c r="H22" s="39">
        <v>341.31275322814298</v>
      </c>
    </row>
    <row r="23" spans="2:13" ht="17" thickBot="1" x14ac:dyDescent="0.25">
      <c r="B23" s="1">
        <f t="shared" si="0"/>
        <v>21</v>
      </c>
      <c r="C23" s="17">
        <v>42870412</v>
      </c>
      <c r="E23" s="37">
        <f t="shared" ref="E23:E24" si="2">E22+IF($H$5="",0.25%,$H$5)</f>
        <v>8.2500000000000018E-2</v>
      </c>
      <c r="F23" s="38">
        <v>15.797089280812125</v>
      </c>
      <c r="G23" s="38">
        <v>14.593154070034295</v>
      </c>
      <c r="H23" s="39">
        <v>330.1442703577647</v>
      </c>
    </row>
    <row r="24" spans="2:13" ht="17" thickBot="1" x14ac:dyDescent="0.25">
      <c r="B24" s="1">
        <f t="shared" si="0"/>
        <v>22</v>
      </c>
      <c r="C24" s="17">
        <v>45007659</v>
      </c>
      <c r="E24" s="37">
        <f t="shared" si="2"/>
        <v>8.500000000000002E-2</v>
      </c>
      <c r="F24" s="38">
        <v>15.518995533526649</v>
      </c>
      <c r="G24" s="38">
        <v>14.303221689886312</v>
      </c>
      <c r="H24" s="39">
        <v>319.34792439923064</v>
      </c>
    </row>
    <row r="25" spans="2:13" x14ac:dyDescent="0.2">
      <c r="B25" s="1">
        <f t="shared" si="0"/>
        <v>23</v>
      </c>
      <c r="C25" s="17">
        <v>46548197</v>
      </c>
    </row>
    <row r="26" spans="2:13" x14ac:dyDescent="0.2">
      <c r="B26" s="1">
        <f t="shared" si="0"/>
        <v>24</v>
      </c>
      <c r="C26" s="17">
        <v>48004382</v>
      </c>
      <c r="E26" s="14" t="s">
        <v>10</v>
      </c>
      <c r="F26" t="s">
        <v>11</v>
      </c>
    </row>
    <row r="27" spans="2:13" x14ac:dyDescent="0.2">
      <c r="B27" s="1">
        <f t="shared" si="0"/>
        <v>25</v>
      </c>
      <c r="C27" s="17">
        <v>49356321</v>
      </c>
      <c r="E27" s="14"/>
      <c r="F27" t="s">
        <v>12</v>
      </c>
    </row>
    <row r="28" spans="2:13" x14ac:dyDescent="0.2">
      <c r="B28" s="1">
        <f t="shared" si="0"/>
        <v>26</v>
      </c>
      <c r="C28" s="17">
        <v>50270765</v>
      </c>
      <c r="E28" s="14"/>
      <c r="F28" t="s">
        <v>13</v>
      </c>
    </row>
    <row r="29" spans="2:13" x14ac:dyDescent="0.2">
      <c r="B29" s="1">
        <f t="shared" si="0"/>
        <v>27</v>
      </c>
      <c r="C29" s="17">
        <v>50907520</v>
      </c>
      <c r="E29" s="14" t="s">
        <v>14</v>
      </c>
      <c r="F29" t="s">
        <v>15</v>
      </c>
    </row>
    <row r="30" spans="2:13" x14ac:dyDescent="0.2">
      <c r="B30" s="1">
        <f t="shared" si="0"/>
        <v>28</v>
      </c>
      <c r="C30" s="17">
        <v>51125265</v>
      </c>
      <c r="E30" s="14"/>
      <c r="F30" t="s">
        <v>16</v>
      </c>
    </row>
    <row r="31" spans="2:13" x14ac:dyDescent="0.2">
      <c r="B31" s="1">
        <f t="shared" si="0"/>
        <v>29</v>
      </c>
      <c r="C31" s="17">
        <v>51169152</v>
      </c>
      <c r="E31" s="14"/>
      <c r="F31" t="s">
        <v>17</v>
      </c>
    </row>
    <row r="32" spans="2:13" x14ac:dyDescent="0.2">
      <c r="B32" s="1">
        <f t="shared" si="0"/>
        <v>30</v>
      </c>
      <c r="C32" s="17">
        <v>50911981</v>
      </c>
      <c r="E32" s="14"/>
      <c r="F32" t="s">
        <v>18</v>
      </c>
    </row>
    <row r="33" spans="2:6" x14ac:dyDescent="0.2">
      <c r="B33" s="1">
        <f t="shared" si="0"/>
        <v>31</v>
      </c>
      <c r="C33" s="17">
        <v>50468544</v>
      </c>
      <c r="E33" s="14"/>
      <c r="F33" s="13" t="s">
        <v>21</v>
      </c>
    </row>
    <row r="34" spans="2:6" x14ac:dyDescent="0.2">
      <c r="B34" s="1">
        <f t="shared" si="0"/>
        <v>32</v>
      </c>
      <c r="C34" s="17">
        <v>49742852</v>
      </c>
      <c r="E34" s="14" t="s">
        <v>19</v>
      </c>
      <c r="F34" t="s">
        <v>20</v>
      </c>
    </row>
    <row r="35" spans="2:6" x14ac:dyDescent="0.2">
      <c r="B35" s="1">
        <f t="shared" si="0"/>
        <v>33</v>
      </c>
      <c r="C35" s="17">
        <v>48841140</v>
      </c>
      <c r="E35" s="14" t="s">
        <v>9</v>
      </c>
      <c r="F35" s="13" t="s">
        <v>22</v>
      </c>
    </row>
    <row r="36" spans="2:6" x14ac:dyDescent="0.2">
      <c r="B36" s="1">
        <f t="shared" si="0"/>
        <v>34</v>
      </c>
      <c r="C36" s="17">
        <v>47675927</v>
      </c>
    </row>
    <row r="37" spans="2:6" x14ac:dyDescent="0.2">
      <c r="B37" s="1">
        <f t="shared" si="0"/>
        <v>35</v>
      </c>
      <c r="C37" s="17">
        <v>46192160</v>
      </c>
    </row>
    <row r="38" spans="2:6" x14ac:dyDescent="0.2">
      <c r="B38" s="1">
        <f t="shared" si="0"/>
        <v>36</v>
      </c>
      <c r="C38" s="17">
        <v>44435243</v>
      </c>
    </row>
    <row r="39" spans="2:6" x14ac:dyDescent="0.2">
      <c r="B39" s="1">
        <f t="shared" si="0"/>
        <v>37</v>
      </c>
      <c r="C39" s="17">
        <v>42484026</v>
      </c>
    </row>
    <row r="40" spans="2:6" x14ac:dyDescent="0.2">
      <c r="B40" s="1">
        <f t="shared" si="0"/>
        <v>38</v>
      </c>
      <c r="C40" s="17">
        <v>40381734</v>
      </c>
    </row>
    <row r="41" spans="2:6" x14ac:dyDescent="0.2">
      <c r="B41" s="1">
        <f t="shared" si="0"/>
        <v>39</v>
      </c>
      <c r="C41" s="17">
        <v>38145904</v>
      </c>
    </row>
    <row r="42" spans="2:6" x14ac:dyDescent="0.2">
      <c r="B42" s="1">
        <f t="shared" si="0"/>
        <v>40</v>
      </c>
      <c r="C42" s="17">
        <v>35824482</v>
      </c>
    </row>
    <row r="43" spans="2:6" x14ac:dyDescent="0.2">
      <c r="B43" s="1">
        <f t="shared" si="0"/>
        <v>41</v>
      </c>
      <c r="C43" s="17">
        <v>33458143</v>
      </c>
    </row>
    <row r="44" spans="2:6" x14ac:dyDescent="0.2">
      <c r="B44" s="1">
        <f t="shared" si="0"/>
        <v>42</v>
      </c>
      <c r="C44" s="17">
        <v>31079665</v>
      </c>
    </row>
    <row r="45" spans="2:6" x14ac:dyDescent="0.2">
      <c r="B45" s="1">
        <f t="shared" si="0"/>
        <v>43</v>
      </c>
      <c r="C45" s="17">
        <v>28724397</v>
      </c>
    </row>
    <row r="46" spans="2:6" x14ac:dyDescent="0.2">
      <c r="B46" s="1">
        <f t="shared" si="0"/>
        <v>44</v>
      </c>
      <c r="C46" s="17">
        <v>26420763</v>
      </c>
    </row>
    <row r="47" spans="2:6" x14ac:dyDescent="0.2">
      <c r="B47" s="1">
        <f t="shared" si="0"/>
        <v>45</v>
      </c>
      <c r="C47" s="17">
        <v>24188159</v>
      </c>
    </row>
    <row r="48" spans="2:6" x14ac:dyDescent="0.2">
      <c r="B48" s="1">
        <f t="shared" si="0"/>
        <v>46</v>
      </c>
      <c r="C48" s="17">
        <v>22038921</v>
      </c>
    </row>
    <row r="49" spans="2:3" x14ac:dyDescent="0.2">
      <c r="B49" s="1">
        <f t="shared" si="0"/>
        <v>47</v>
      </c>
      <c r="C49" s="17">
        <v>19981828</v>
      </c>
    </row>
    <row r="50" spans="2:3" x14ac:dyDescent="0.2">
      <c r="B50" s="1">
        <f t="shared" si="0"/>
        <v>48</v>
      </c>
      <c r="C50" s="17">
        <v>18024578</v>
      </c>
    </row>
    <row r="51" spans="2:3" x14ac:dyDescent="0.2">
      <c r="B51" s="1">
        <f t="shared" si="0"/>
        <v>49</v>
      </c>
      <c r="C51" s="17">
        <v>16173124</v>
      </c>
    </row>
    <row r="52" spans="2:3" x14ac:dyDescent="0.2">
      <c r="B52" s="1">
        <f t="shared" si="0"/>
        <v>50</v>
      </c>
      <c r="C52" s="17">
        <v>14432005</v>
      </c>
    </row>
    <row r="53" spans="2:3" x14ac:dyDescent="0.2">
      <c r="B53" s="1">
        <f t="shared" si="0"/>
        <v>51</v>
      </c>
      <c r="C53" s="17">
        <v>12804620</v>
      </c>
    </row>
    <row r="54" spans="2:3" x14ac:dyDescent="0.2">
      <c r="B54" s="1">
        <f t="shared" si="0"/>
        <v>52</v>
      </c>
      <c r="C54" s="17">
        <v>11293094</v>
      </c>
    </row>
    <row r="55" spans="2:3" x14ac:dyDescent="0.2">
      <c r="B55" s="1">
        <f t="shared" si="0"/>
        <v>53</v>
      </c>
      <c r="C55" s="17">
        <v>9898270</v>
      </c>
    </row>
    <row r="56" spans="2:3" x14ac:dyDescent="0.2">
      <c r="B56" s="1">
        <f t="shared" si="0"/>
        <v>54</v>
      </c>
      <c r="C56" s="17">
        <v>8619497</v>
      </c>
    </row>
    <row r="57" spans="2:3" x14ac:dyDescent="0.2">
      <c r="B57" s="1">
        <f t="shared" si="0"/>
        <v>55</v>
      </c>
      <c r="C57" s="17">
        <v>7454934</v>
      </c>
    </row>
    <row r="58" spans="2:3" x14ac:dyDescent="0.2">
      <c r="B58" s="1">
        <f t="shared" si="0"/>
        <v>56</v>
      </c>
      <c r="C58" s="17">
        <v>6401930</v>
      </c>
    </row>
    <row r="59" spans="2:3" x14ac:dyDescent="0.2">
      <c r="B59" s="1">
        <f t="shared" si="0"/>
        <v>57</v>
      </c>
      <c r="C59" s="17">
        <v>5456719</v>
      </c>
    </row>
    <row r="60" spans="2:3" x14ac:dyDescent="0.2">
      <c r="B60" s="1">
        <f t="shared" si="0"/>
        <v>58</v>
      </c>
      <c r="C60" s="17">
        <v>4614605</v>
      </c>
    </row>
    <row r="61" spans="2:3" x14ac:dyDescent="0.2">
      <c r="B61" s="1">
        <f t="shared" si="0"/>
        <v>59</v>
      </c>
      <c r="C61" s="17">
        <v>3870118</v>
      </c>
    </row>
    <row r="62" spans="2:3" x14ac:dyDescent="0.2">
      <c r="B62" s="1">
        <f t="shared" si="0"/>
        <v>60</v>
      </c>
      <c r="C62" s="17">
        <v>3217240</v>
      </c>
    </row>
    <row r="63" spans="2:3" x14ac:dyDescent="0.2">
      <c r="B63" s="1">
        <f t="shared" si="0"/>
        <v>61</v>
      </c>
      <c r="C63" s="17">
        <v>2649797</v>
      </c>
    </row>
    <row r="64" spans="2:3" x14ac:dyDescent="0.2">
      <c r="B64" s="1">
        <f t="shared" si="0"/>
        <v>62</v>
      </c>
      <c r="C64" s="17">
        <v>2161000</v>
      </c>
    </row>
    <row r="65" spans="2:3" x14ac:dyDescent="0.2">
      <c r="B65" s="1">
        <f t="shared" si="0"/>
        <v>63</v>
      </c>
      <c r="C65" s="17">
        <v>1743832</v>
      </c>
    </row>
    <row r="66" spans="2:3" x14ac:dyDescent="0.2">
      <c r="B66" s="1">
        <f t="shared" si="0"/>
        <v>64</v>
      </c>
      <c r="C66" s="17">
        <v>1391546</v>
      </c>
    </row>
    <row r="67" spans="2:3" x14ac:dyDescent="0.2">
      <c r="B67" s="1">
        <f t="shared" si="0"/>
        <v>65</v>
      </c>
      <c r="C67" s="17">
        <v>1097090</v>
      </c>
    </row>
    <row r="68" spans="2:3" x14ac:dyDescent="0.2">
      <c r="B68" s="1">
        <f t="shared" si="0"/>
        <v>66</v>
      </c>
      <c r="C68" s="17">
        <v>853565</v>
      </c>
    </row>
    <row r="69" spans="2:3" x14ac:dyDescent="0.2">
      <c r="B69" s="1">
        <f t="shared" ref="B69:B122" si="3">B68+1</f>
        <v>67</v>
      </c>
      <c r="C69" s="17">
        <v>654700</v>
      </c>
    </row>
    <row r="70" spans="2:3" x14ac:dyDescent="0.2">
      <c r="B70" s="1">
        <f t="shared" si="3"/>
        <v>68</v>
      </c>
      <c r="C70" s="17">
        <v>494476</v>
      </c>
    </row>
    <row r="71" spans="2:3" x14ac:dyDescent="0.2">
      <c r="B71" s="1">
        <f t="shared" si="3"/>
        <v>69</v>
      </c>
      <c r="C71" s="17">
        <v>367170</v>
      </c>
    </row>
    <row r="72" spans="2:3" x14ac:dyDescent="0.2">
      <c r="B72" s="1">
        <f t="shared" si="3"/>
        <v>70</v>
      </c>
      <c r="C72" s="17">
        <v>267594</v>
      </c>
    </row>
    <row r="73" spans="2:3" x14ac:dyDescent="0.2">
      <c r="B73" s="1">
        <f t="shared" si="3"/>
        <v>71</v>
      </c>
      <c r="C73" s="17">
        <v>191058</v>
      </c>
    </row>
    <row r="74" spans="2:3" x14ac:dyDescent="0.2">
      <c r="B74" s="1">
        <f t="shared" si="3"/>
        <v>72</v>
      </c>
      <c r="C74" s="17">
        <v>133400</v>
      </c>
    </row>
    <row r="75" spans="2:3" x14ac:dyDescent="0.2">
      <c r="B75" s="1">
        <f t="shared" si="3"/>
        <v>73</v>
      </c>
      <c r="C75" s="17">
        <v>90936</v>
      </c>
    </row>
    <row r="76" spans="2:3" x14ac:dyDescent="0.2">
      <c r="B76" s="1">
        <f t="shared" si="3"/>
        <v>74</v>
      </c>
      <c r="C76" s="17">
        <v>60430</v>
      </c>
    </row>
    <row r="77" spans="2:3" x14ac:dyDescent="0.2">
      <c r="B77" s="1">
        <f t="shared" si="3"/>
        <v>75</v>
      </c>
      <c r="C77" s="17">
        <v>39039</v>
      </c>
    </row>
    <row r="78" spans="2:3" x14ac:dyDescent="0.2">
      <c r="B78" s="1">
        <f t="shared" si="3"/>
        <v>76</v>
      </c>
      <c r="C78" s="17">
        <v>24441</v>
      </c>
    </row>
    <row r="79" spans="2:3" x14ac:dyDescent="0.2">
      <c r="B79" s="1">
        <f t="shared" si="3"/>
        <v>77</v>
      </c>
      <c r="C79" s="17">
        <v>14788</v>
      </c>
    </row>
    <row r="80" spans="2:3" x14ac:dyDescent="0.2">
      <c r="B80" s="1">
        <f t="shared" si="3"/>
        <v>78</v>
      </c>
      <c r="C80" s="17">
        <v>8622</v>
      </c>
    </row>
    <row r="81" spans="2:3" x14ac:dyDescent="0.2">
      <c r="B81" s="1">
        <f t="shared" si="3"/>
        <v>79</v>
      </c>
      <c r="C81" s="17">
        <v>4833</v>
      </c>
    </row>
    <row r="82" spans="2:3" x14ac:dyDescent="0.2">
      <c r="B82" s="1">
        <f t="shared" si="3"/>
        <v>80</v>
      </c>
      <c r="C82" s="17">
        <v>2605</v>
      </c>
    </row>
    <row r="83" spans="2:3" x14ac:dyDescent="0.2">
      <c r="B83" s="1">
        <f t="shared" si="3"/>
        <v>81</v>
      </c>
      <c r="C83" s="17">
        <v>1349</v>
      </c>
    </row>
    <row r="84" spans="2:3" x14ac:dyDescent="0.2">
      <c r="B84" s="1">
        <f t="shared" si="3"/>
        <v>82</v>
      </c>
      <c r="C84" s="17">
        <v>670</v>
      </c>
    </row>
    <row r="85" spans="2:3" x14ac:dyDescent="0.2">
      <c r="B85" s="1">
        <f t="shared" si="3"/>
        <v>83</v>
      </c>
      <c r="C85" s="17">
        <v>318</v>
      </c>
    </row>
    <row r="86" spans="2:3" x14ac:dyDescent="0.2">
      <c r="B86" s="1">
        <f t="shared" si="3"/>
        <v>84</v>
      </c>
      <c r="C86" s="17">
        <v>146</v>
      </c>
    </row>
    <row r="87" spans="2:3" x14ac:dyDescent="0.2">
      <c r="B87" s="1">
        <f t="shared" si="3"/>
        <v>85</v>
      </c>
      <c r="C87" s="17">
        <v>64</v>
      </c>
    </row>
    <row r="88" spans="2:3" x14ac:dyDescent="0.2">
      <c r="B88" s="1">
        <f t="shared" si="3"/>
        <v>86</v>
      </c>
      <c r="C88" s="17">
        <v>28</v>
      </c>
    </row>
    <row r="89" spans="2:3" x14ac:dyDescent="0.2">
      <c r="B89" s="1">
        <f t="shared" si="3"/>
        <v>87</v>
      </c>
      <c r="C89" s="17">
        <v>12</v>
      </c>
    </row>
    <row r="90" spans="2:3" x14ac:dyDescent="0.2">
      <c r="B90" s="1">
        <f t="shared" si="3"/>
        <v>88</v>
      </c>
      <c r="C90" s="17">
        <v>5</v>
      </c>
    </row>
    <row r="91" spans="2:3" x14ac:dyDescent="0.2">
      <c r="B91" s="1">
        <f t="shared" si="3"/>
        <v>89</v>
      </c>
      <c r="C91" s="17">
        <v>1</v>
      </c>
    </row>
    <row r="92" spans="2:3" x14ac:dyDescent="0.2">
      <c r="B92" s="1">
        <f t="shared" si="3"/>
        <v>90</v>
      </c>
      <c r="C92" s="17">
        <v>0</v>
      </c>
    </row>
    <row r="93" spans="2:3" x14ac:dyDescent="0.2">
      <c r="B93" s="1">
        <f t="shared" si="3"/>
        <v>91</v>
      </c>
      <c r="C93" s="17">
        <v>0</v>
      </c>
    </row>
    <row r="94" spans="2:3" x14ac:dyDescent="0.2">
      <c r="B94" s="1">
        <f t="shared" si="3"/>
        <v>92</v>
      </c>
      <c r="C94" s="17">
        <v>0</v>
      </c>
    </row>
    <row r="95" spans="2:3" x14ac:dyDescent="0.2">
      <c r="B95" s="1">
        <f t="shared" si="3"/>
        <v>93</v>
      </c>
      <c r="C95" s="17">
        <v>0</v>
      </c>
    </row>
    <row r="96" spans="2:3" x14ac:dyDescent="0.2">
      <c r="B96" s="1">
        <f t="shared" si="3"/>
        <v>94</v>
      </c>
      <c r="C96" s="17">
        <v>0</v>
      </c>
    </row>
    <row r="97" spans="2:3" x14ac:dyDescent="0.2">
      <c r="B97" s="1">
        <f t="shared" si="3"/>
        <v>95</v>
      </c>
      <c r="C97" s="17">
        <v>0</v>
      </c>
    </row>
    <row r="98" spans="2:3" x14ac:dyDescent="0.2">
      <c r="B98" s="1">
        <f t="shared" si="3"/>
        <v>96</v>
      </c>
      <c r="C98" s="17">
        <v>0</v>
      </c>
    </row>
    <row r="99" spans="2:3" x14ac:dyDescent="0.2">
      <c r="B99" s="1">
        <f t="shared" si="3"/>
        <v>97</v>
      </c>
      <c r="C99" s="17">
        <v>0</v>
      </c>
    </row>
    <row r="100" spans="2:3" x14ac:dyDescent="0.2">
      <c r="B100" s="1">
        <f t="shared" si="3"/>
        <v>98</v>
      </c>
      <c r="C100" s="17">
        <v>0</v>
      </c>
    </row>
    <row r="101" spans="2:3" x14ac:dyDescent="0.2">
      <c r="B101" s="1">
        <f t="shared" si="3"/>
        <v>99</v>
      </c>
      <c r="C101" s="17">
        <v>0</v>
      </c>
    </row>
    <row r="102" spans="2:3" x14ac:dyDescent="0.2">
      <c r="B102" s="1">
        <f t="shared" si="3"/>
        <v>100</v>
      </c>
      <c r="C102" s="17">
        <v>0</v>
      </c>
    </row>
    <row r="103" spans="2:3" x14ac:dyDescent="0.2">
      <c r="B103" s="1">
        <f t="shared" si="3"/>
        <v>101</v>
      </c>
      <c r="C103" s="17">
        <v>0</v>
      </c>
    </row>
    <row r="104" spans="2:3" x14ac:dyDescent="0.2">
      <c r="B104" s="1">
        <f t="shared" si="3"/>
        <v>102</v>
      </c>
      <c r="C104" s="17">
        <v>0</v>
      </c>
    </row>
    <row r="105" spans="2:3" x14ac:dyDescent="0.2">
      <c r="B105" s="1">
        <f t="shared" si="3"/>
        <v>103</v>
      </c>
      <c r="C105" s="17">
        <v>0</v>
      </c>
    </row>
    <row r="106" spans="2:3" x14ac:dyDescent="0.2">
      <c r="B106" s="1">
        <f t="shared" si="3"/>
        <v>104</v>
      </c>
      <c r="C106" s="17">
        <v>0</v>
      </c>
    </row>
    <row r="107" spans="2:3" x14ac:dyDescent="0.2">
      <c r="B107" s="1">
        <f t="shared" si="3"/>
        <v>105</v>
      </c>
      <c r="C107" s="17">
        <v>0</v>
      </c>
    </row>
    <row r="108" spans="2:3" x14ac:dyDescent="0.2">
      <c r="B108" s="1">
        <f t="shared" si="3"/>
        <v>106</v>
      </c>
      <c r="C108" s="17">
        <v>0</v>
      </c>
    </row>
    <row r="109" spans="2:3" x14ac:dyDescent="0.2">
      <c r="B109" s="1">
        <f t="shared" si="3"/>
        <v>107</v>
      </c>
      <c r="C109" s="17">
        <v>0</v>
      </c>
    </row>
    <row r="110" spans="2:3" x14ac:dyDescent="0.2">
      <c r="B110" s="1">
        <f t="shared" si="3"/>
        <v>108</v>
      </c>
      <c r="C110" s="17">
        <v>0</v>
      </c>
    </row>
    <row r="111" spans="2:3" x14ac:dyDescent="0.2">
      <c r="B111" s="1">
        <f t="shared" si="3"/>
        <v>109</v>
      </c>
      <c r="C111" s="17">
        <v>0</v>
      </c>
    </row>
    <row r="112" spans="2:3" x14ac:dyDescent="0.2">
      <c r="B112" s="1">
        <f t="shared" si="3"/>
        <v>110</v>
      </c>
      <c r="C112" s="17">
        <v>0</v>
      </c>
    </row>
    <row r="113" spans="2:7" x14ac:dyDescent="0.2">
      <c r="B113" s="1">
        <f t="shared" si="3"/>
        <v>111</v>
      </c>
      <c r="C113" s="17">
        <v>0</v>
      </c>
    </row>
    <row r="114" spans="2:7" x14ac:dyDescent="0.2">
      <c r="B114" s="1">
        <f t="shared" si="3"/>
        <v>112</v>
      </c>
      <c r="C114" s="17">
        <v>0</v>
      </c>
    </row>
    <row r="115" spans="2:7" x14ac:dyDescent="0.2">
      <c r="B115" s="1">
        <f t="shared" si="3"/>
        <v>113</v>
      </c>
      <c r="C115" s="17">
        <v>0</v>
      </c>
    </row>
    <row r="116" spans="2:7" x14ac:dyDescent="0.2">
      <c r="B116" s="1">
        <f t="shared" si="3"/>
        <v>114</v>
      </c>
      <c r="C116" s="17">
        <v>0</v>
      </c>
    </row>
    <row r="117" spans="2:7" x14ac:dyDescent="0.2">
      <c r="B117" s="1">
        <f t="shared" si="3"/>
        <v>115</v>
      </c>
      <c r="C117" s="17">
        <v>0</v>
      </c>
    </row>
    <row r="118" spans="2:7" x14ac:dyDescent="0.2">
      <c r="B118" s="1">
        <f t="shared" si="3"/>
        <v>116</v>
      </c>
      <c r="C118" s="17">
        <v>0</v>
      </c>
    </row>
    <row r="119" spans="2:7" x14ac:dyDescent="0.2">
      <c r="B119" s="1">
        <f t="shared" si="3"/>
        <v>117</v>
      </c>
      <c r="C119" s="17">
        <v>0</v>
      </c>
    </row>
    <row r="120" spans="2:7" x14ac:dyDescent="0.2">
      <c r="B120" s="1">
        <f t="shared" si="3"/>
        <v>118</v>
      </c>
      <c r="C120" s="17">
        <v>0</v>
      </c>
    </row>
    <row r="121" spans="2:7" x14ac:dyDescent="0.2">
      <c r="B121" s="1">
        <f t="shared" si="3"/>
        <v>119</v>
      </c>
      <c r="C121" s="17">
        <v>0</v>
      </c>
    </row>
    <row r="122" spans="2:7" x14ac:dyDescent="0.2">
      <c r="B122" s="1">
        <f t="shared" si="3"/>
        <v>120</v>
      </c>
      <c r="C122" s="17">
        <v>0</v>
      </c>
    </row>
    <row r="125" spans="2:7" x14ac:dyDescent="0.2">
      <c r="B125" s="42" t="s">
        <v>40</v>
      </c>
      <c r="G125" s="44">
        <v>45254</v>
      </c>
    </row>
    <row r="126" spans="2:7" x14ac:dyDescent="0.2">
      <c r="B126" s="42" t="s">
        <v>41</v>
      </c>
      <c r="G126" s="43">
        <v>0.73333333333333339</v>
      </c>
    </row>
  </sheetData>
  <mergeCells count="2">
    <mergeCell ref="E2:H2"/>
    <mergeCell ref="E8:H8"/>
  </mergeCells>
  <pageMargins left="0.7" right="0.7" top="0.75" bottom="0.75" header="0.3" footer="0.3"/>
  <pageSetup scale="52" fitToHeight="3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06F3-15D3-4C47-81F0-42E401DF69F2}">
  <sheetPr>
    <pageSetUpPr fitToPage="1"/>
  </sheetPr>
  <dimension ref="B1:G140"/>
  <sheetViews>
    <sheetView workbookViewId="0">
      <pane ySplit="20" topLeftCell="A21" activePane="bottomLeft" state="frozen"/>
      <selection pane="bottomLeft" activeCell="I12" sqref="I12"/>
    </sheetView>
  </sheetViews>
  <sheetFormatPr baseColWidth="10" defaultRowHeight="16" x14ac:dyDescent="0.2"/>
  <cols>
    <col min="1" max="1" width="1.1640625" customWidth="1"/>
    <col min="3" max="3" width="16.5" customWidth="1"/>
    <col min="4" max="4" width="6.6640625" bestFit="1" customWidth="1"/>
    <col min="5" max="6" width="15.83203125" customWidth="1"/>
    <col min="7" max="7" width="18.33203125" bestFit="1" customWidth="1"/>
  </cols>
  <sheetData>
    <row r="1" spans="2:7" ht="8" customHeight="1" thickBot="1" x14ac:dyDescent="0.25"/>
    <row r="2" spans="2:7" ht="25" thickBot="1" x14ac:dyDescent="0.35">
      <c r="B2" s="52" t="s">
        <v>30</v>
      </c>
      <c r="C2" s="53"/>
      <c r="D2" s="53"/>
      <c r="E2" s="53"/>
      <c r="F2" s="53"/>
      <c r="G2" s="54"/>
    </row>
    <row r="3" spans="2:7" ht="6" customHeight="1" x14ac:dyDescent="0.2"/>
    <row r="4" spans="2:7" x14ac:dyDescent="0.2">
      <c r="B4" t="s">
        <v>26</v>
      </c>
      <c r="G4" s="18">
        <f>IF(DurationM!L12="",5%,DurationM!L12)</f>
        <v>0.05</v>
      </c>
    </row>
    <row r="5" spans="2:7" x14ac:dyDescent="0.2">
      <c r="B5" t="s">
        <v>29</v>
      </c>
      <c r="G5" s="33">
        <f>IF(DurationM!H6="",0.5,DurationM!H6)</f>
        <v>0</v>
      </c>
    </row>
    <row r="6" spans="2:7" ht="6" customHeight="1" thickBot="1" x14ac:dyDescent="0.25"/>
    <row r="7" spans="2:7" ht="25" thickBot="1" x14ac:dyDescent="0.35">
      <c r="B7" s="55" t="s">
        <v>31</v>
      </c>
      <c r="C7" s="56"/>
      <c r="D7" s="56"/>
      <c r="E7" s="56"/>
      <c r="F7" s="56"/>
      <c r="G7" s="57"/>
    </row>
    <row r="8" spans="2:7" ht="6" customHeight="1" thickBot="1" x14ac:dyDescent="0.25"/>
    <row r="9" spans="2:7" ht="19" x14ac:dyDescent="0.25">
      <c r="B9" s="19" t="s">
        <v>27</v>
      </c>
      <c r="C9" s="4"/>
      <c r="D9" s="4"/>
      <c r="E9" s="4"/>
      <c r="F9" s="4"/>
      <c r="G9" s="20">
        <f>E20</f>
        <v>543387767.89757395</v>
      </c>
    </row>
    <row r="10" spans="2:7" ht="19" x14ac:dyDescent="0.25">
      <c r="B10" s="21" t="s">
        <v>10</v>
      </c>
      <c r="G10" s="22">
        <f>F20/E20</f>
        <v>19.877122309531423</v>
      </c>
    </row>
    <row r="11" spans="2:7" ht="19" x14ac:dyDescent="0.25">
      <c r="B11" s="21" t="s">
        <v>28</v>
      </c>
      <c r="G11" s="22">
        <f>G10/(1+G4)</f>
        <v>18.930592675744212</v>
      </c>
    </row>
    <row r="12" spans="2:7" ht="20" thickBot="1" x14ac:dyDescent="0.3">
      <c r="B12" s="23" t="s">
        <v>9</v>
      </c>
      <c r="C12" s="8"/>
      <c r="D12" s="8"/>
      <c r="E12" s="8"/>
      <c r="F12" s="8"/>
      <c r="G12" s="24">
        <f>G20/E20/(1+G4)^2</f>
        <v>508.39004292925773</v>
      </c>
    </row>
    <row r="13" spans="2:7" ht="4" customHeight="1" thickBot="1" x14ac:dyDescent="0.25"/>
    <row r="14" spans="2:7" ht="18" customHeight="1" thickBot="1" x14ac:dyDescent="0.35">
      <c r="B14" s="58" t="s">
        <v>32</v>
      </c>
      <c r="C14" s="59"/>
      <c r="D14" s="59"/>
      <c r="E14" s="59"/>
      <c r="F14" s="59"/>
      <c r="G14" s="60"/>
    </row>
    <row r="15" spans="2:7" ht="27" hidden="1" customHeight="1" x14ac:dyDescent="0.25">
      <c r="B15" s="25" t="s">
        <v>26</v>
      </c>
      <c r="C15" s="25"/>
      <c r="D15" s="25"/>
      <c r="E15" s="25"/>
      <c r="F15" s="25"/>
      <c r="G15" s="26">
        <f>IF(G4="",5%,G4)</f>
        <v>0.05</v>
      </c>
    </row>
    <row r="16" spans="2:7" ht="18" hidden="1" customHeight="1" x14ac:dyDescent="0.25">
      <c r="B16" s="25" t="s">
        <v>25</v>
      </c>
      <c r="C16" s="25"/>
      <c r="D16" s="25"/>
      <c r="E16" s="25"/>
      <c r="F16" s="25"/>
      <c r="G16" s="25">
        <f>IF(G5="",0.5,G5)</f>
        <v>0</v>
      </c>
    </row>
    <row r="17" spans="2:7" ht="22" hidden="1" customHeight="1" thickBot="1" x14ac:dyDescent="0.3">
      <c r="B17" s="25"/>
      <c r="C17" s="25"/>
      <c r="D17" s="25"/>
      <c r="E17" s="25"/>
      <c r="F17" s="25"/>
      <c r="G17" s="25"/>
    </row>
    <row r="18" spans="2:7" ht="22" thickBot="1" x14ac:dyDescent="0.3">
      <c r="B18" s="25"/>
      <c r="C18" s="25"/>
      <c r="D18" s="25"/>
      <c r="E18" s="61" t="s">
        <v>33</v>
      </c>
      <c r="F18" s="62"/>
      <c r="G18" s="63"/>
    </row>
    <row r="19" spans="2:7" ht="20" thickBot="1" x14ac:dyDescent="0.25">
      <c r="B19" s="27" t="s">
        <v>0</v>
      </c>
      <c r="C19" s="27" t="s">
        <v>34</v>
      </c>
      <c r="D19" s="28"/>
      <c r="E19" s="29" t="s">
        <v>35</v>
      </c>
      <c r="F19" s="29" t="s">
        <v>36</v>
      </c>
      <c r="G19" s="29" t="s">
        <v>37</v>
      </c>
    </row>
    <row r="20" spans="2:7" ht="19" x14ac:dyDescent="0.2">
      <c r="B20" s="30"/>
      <c r="C20" s="30"/>
      <c r="D20" s="30" t="s">
        <v>38</v>
      </c>
      <c r="E20" s="30">
        <f>SUM(E21:E140)</f>
        <v>543387767.89757395</v>
      </c>
      <c r="F20" s="30">
        <f>SUM(F21:F140)</f>
        <v>10800985124.003349</v>
      </c>
      <c r="G20" s="30">
        <f>SUM(G21:G140)</f>
        <v>304568856040.17102</v>
      </c>
    </row>
    <row r="21" spans="2:7" x14ac:dyDescent="0.2">
      <c r="B21" s="31">
        <v>1</v>
      </c>
      <c r="C21" s="17">
        <f>DurationM!C3</f>
        <v>11683622</v>
      </c>
      <c r="D21" s="32">
        <f>G5</f>
        <v>0</v>
      </c>
      <c r="E21" s="31">
        <f>C21/(1+$G$4)^D21</f>
        <v>11683622</v>
      </c>
      <c r="F21" s="31">
        <f>D21*E21</f>
        <v>0</v>
      </c>
      <c r="G21" s="31">
        <f>F21*(1+D21)</f>
        <v>0</v>
      </c>
    </row>
    <row r="22" spans="2:7" x14ac:dyDescent="0.2">
      <c r="B22" s="31">
        <v>2</v>
      </c>
      <c r="C22" s="17">
        <f>DurationM!C4</f>
        <v>12282307</v>
      </c>
      <c r="D22" s="32">
        <f>D21+1</f>
        <v>1</v>
      </c>
      <c r="E22" s="31">
        <f t="shared" ref="E22:E85" si="0">C22/(1+$G$4)^D22</f>
        <v>11697435.238095237</v>
      </c>
      <c r="F22" s="31">
        <f t="shared" ref="F22:F85" si="1">D22*E22</f>
        <v>11697435.238095237</v>
      </c>
      <c r="G22" s="31">
        <f t="shared" ref="G22:G85" si="2">F22*(1+D22)</f>
        <v>23394870.476190474</v>
      </c>
    </row>
    <row r="23" spans="2:7" x14ac:dyDescent="0.2">
      <c r="B23" s="31">
        <v>3</v>
      </c>
      <c r="C23" s="17">
        <f>DurationM!C5</f>
        <v>12930973</v>
      </c>
      <c r="D23" s="32">
        <f t="shared" ref="D23:D86" si="3">D22+1</f>
        <v>2</v>
      </c>
      <c r="E23" s="31">
        <f t="shared" si="0"/>
        <v>11728773.696145125</v>
      </c>
      <c r="F23" s="31">
        <f t="shared" si="1"/>
        <v>23457547.392290249</v>
      </c>
      <c r="G23" s="31">
        <f t="shared" si="2"/>
        <v>70372642.176870748</v>
      </c>
    </row>
    <row r="24" spans="2:7" x14ac:dyDescent="0.2">
      <c r="B24" s="31">
        <v>4</v>
      </c>
      <c r="C24" s="17">
        <f>DurationM!C6</f>
        <v>13693816</v>
      </c>
      <c r="D24" s="32">
        <f t="shared" si="3"/>
        <v>3</v>
      </c>
      <c r="E24" s="31">
        <f t="shared" si="0"/>
        <v>11829233.128171902</v>
      </c>
      <c r="F24" s="31">
        <f t="shared" si="1"/>
        <v>35487699.384515703</v>
      </c>
      <c r="G24" s="31">
        <f t="shared" si="2"/>
        <v>141950797.53806281</v>
      </c>
    </row>
    <row r="25" spans="2:7" x14ac:dyDescent="0.2">
      <c r="B25" s="31">
        <v>5</v>
      </c>
      <c r="C25" s="17">
        <f>DurationM!C7</f>
        <v>14783907</v>
      </c>
      <c r="D25" s="32">
        <f t="shared" si="3"/>
        <v>4</v>
      </c>
      <c r="E25" s="31">
        <f t="shared" si="0"/>
        <v>12162756.875993028</v>
      </c>
      <c r="F25" s="31">
        <f t="shared" si="1"/>
        <v>48651027.503972113</v>
      </c>
      <c r="G25" s="31">
        <f t="shared" si="2"/>
        <v>243255137.51986057</v>
      </c>
    </row>
    <row r="26" spans="2:7" x14ac:dyDescent="0.2">
      <c r="B26" s="31">
        <v>6</v>
      </c>
      <c r="C26" s="17">
        <f>DurationM!C8</f>
        <v>15864835</v>
      </c>
      <c r="D26" s="32">
        <f t="shared" si="3"/>
        <v>5</v>
      </c>
      <c r="E26" s="31">
        <f t="shared" si="0"/>
        <v>12430513.349204633</v>
      </c>
      <c r="F26" s="31">
        <f t="shared" si="1"/>
        <v>62152566.746023163</v>
      </c>
      <c r="G26" s="31">
        <f t="shared" si="2"/>
        <v>372915400.47613895</v>
      </c>
    </row>
    <row r="27" spans="2:7" x14ac:dyDescent="0.2">
      <c r="B27" s="31">
        <v>7</v>
      </c>
      <c r="C27" s="17">
        <f>DurationM!C9</f>
        <v>16977187</v>
      </c>
      <c r="D27" s="32">
        <f t="shared" si="3"/>
        <v>6</v>
      </c>
      <c r="E27" s="31">
        <f t="shared" si="0"/>
        <v>12668638.330979198</v>
      </c>
      <c r="F27" s="31">
        <f t="shared" si="1"/>
        <v>76011829.985875189</v>
      </c>
      <c r="G27" s="31">
        <f t="shared" si="2"/>
        <v>532082809.90112633</v>
      </c>
    </row>
    <row r="28" spans="2:7" x14ac:dyDescent="0.2">
      <c r="B28" s="31">
        <v>8</v>
      </c>
      <c r="C28" s="17">
        <f>DurationM!C10</f>
        <v>18260270</v>
      </c>
      <c r="D28" s="32">
        <f t="shared" si="3"/>
        <v>7</v>
      </c>
      <c r="E28" s="31">
        <f t="shared" si="0"/>
        <v>12977232.972135153</v>
      </c>
      <c r="F28" s="31">
        <f t="shared" si="1"/>
        <v>90840630.804946065</v>
      </c>
      <c r="G28" s="31">
        <f t="shared" si="2"/>
        <v>726725046.43956852</v>
      </c>
    </row>
    <row r="29" spans="2:7" x14ac:dyDescent="0.2">
      <c r="B29" s="31">
        <v>9</v>
      </c>
      <c r="C29" s="17">
        <f>DurationM!C11</f>
        <v>19351600</v>
      </c>
      <c r="D29" s="32">
        <f t="shared" si="3"/>
        <v>8</v>
      </c>
      <c r="E29" s="31">
        <f t="shared" si="0"/>
        <v>13097924.598234342</v>
      </c>
      <c r="F29" s="31">
        <f t="shared" si="1"/>
        <v>104783396.78587474</v>
      </c>
      <c r="G29" s="31">
        <f t="shared" si="2"/>
        <v>943050571.07287264</v>
      </c>
    </row>
    <row r="30" spans="2:7" x14ac:dyDescent="0.2">
      <c r="B30" s="31">
        <v>10</v>
      </c>
      <c r="C30" s="17">
        <f>DurationM!C12</f>
        <v>20863277</v>
      </c>
      <c r="D30" s="32">
        <f t="shared" si="3"/>
        <v>9</v>
      </c>
      <c r="E30" s="31">
        <f t="shared" si="0"/>
        <v>13448654.375721697</v>
      </c>
      <c r="F30" s="31">
        <f t="shared" si="1"/>
        <v>121037889.38149527</v>
      </c>
      <c r="G30" s="31">
        <f t="shared" si="2"/>
        <v>1210378893.8149526</v>
      </c>
    </row>
    <row r="31" spans="2:7" x14ac:dyDescent="0.2">
      <c r="B31" s="31">
        <v>11</v>
      </c>
      <c r="C31" s="17">
        <f>DurationM!C13</f>
        <v>22579574</v>
      </c>
      <c r="D31" s="32">
        <f t="shared" si="3"/>
        <v>10</v>
      </c>
      <c r="E31" s="31">
        <f t="shared" si="0"/>
        <v>13861899.737904336</v>
      </c>
      <c r="F31" s="31">
        <f t="shared" si="1"/>
        <v>138618997.37904337</v>
      </c>
      <c r="G31" s="31">
        <f t="shared" si="2"/>
        <v>1524808971.169477</v>
      </c>
    </row>
    <row r="32" spans="2:7" x14ac:dyDescent="0.2">
      <c r="B32" s="31">
        <v>12</v>
      </c>
      <c r="C32" s="17">
        <f>DurationM!C14</f>
        <v>24504101</v>
      </c>
      <c r="D32" s="32">
        <f t="shared" si="3"/>
        <v>11</v>
      </c>
      <c r="E32" s="31">
        <f t="shared" si="0"/>
        <v>14327040.352382259</v>
      </c>
      <c r="F32" s="31">
        <f t="shared" si="1"/>
        <v>157597443.87620485</v>
      </c>
      <c r="G32" s="31">
        <f t="shared" si="2"/>
        <v>1891169326.5144582</v>
      </c>
    </row>
    <row r="33" spans="2:7" x14ac:dyDescent="0.2">
      <c r="B33" s="31">
        <v>13</v>
      </c>
      <c r="C33" s="17">
        <f>DurationM!C15</f>
        <v>26318482</v>
      </c>
      <c r="D33" s="32">
        <f t="shared" si="3"/>
        <v>12</v>
      </c>
      <c r="E33" s="31">
        <f t="shared" si="0"/>
        <v>14655115.567232573</v>
      </c>
      <c r="F33" s="31">
        <f t="shared" si="1"/>
        <v>175861386.80679089</v>
      </c>
      <c r="G33" s="31">
        <f t="shared" si="2"/>
        <v>2286198028.4882817</v>
      </c>
    </row>
    <row r="34" spans="2:7" x14ac:dyDescent="0.2">
      <c r="B34" s="31">
        <v>14</v>
      </c>
      <c r="C34" s="17">
        <f>DurationM!C16</f>
        <v>28300403</v>
      </c>
      <c r="D34" s="32">
        <f t="shared" si="3"/>
        <v>13</v>
      </c>
      <c r="E34" s="31">
        <f t="shared" si="0"/>
        <v>15008307.942766149</v>
      </c>
      <c r="F34" s="31">
        <f t="shared" si="1"/>
        <v>195108003.25595993</v>
      </c>
      <c r="G34" s="31">
        <f t="shared" si="2"/>
        <v>2731512045.5834389</v>
      </c>
    </row>
    <row r="35" spans="2:7" x14ac:dyDescent="0.2">
      <c r="B35" s="31">
        <v>15</v>
      </c>
      <c r="C35" s="17">
        <f>DurationM!C17</f>
        <v>30563624</v>
      </c>
      <c r="D35" s="32">
        <f t="shared" si="3"/>
        <v>14</v>
      </c>
      <c r="E35" s="31">
        <f t="shared" si="0"/>
        <v>15436707.009804713</v>
      </c>
      <c r="F35" s="31">
        <f t="shared" si="1"/>
        <v>216113898.13726598</v>
      </c>
      <c r="G35" s="31">
        <f t="shared" si="2"/>
        <v>3241708472.0589895</v>
      </c>
    </row>
    <row r="36" spans="2:7" x14ac:dyDescent="0.2">
      <c r="B36" s="31">
        <v>16</v>
      </c>
      <c r="C36" s="17">
        <f>DurationM!C18</f>
        <v>32754109</v>
      </c>
      <c r="D36" s="32">
        <f t="shared" si="3"/>
        <v>15</v>
      </c>
      <c r="E36" s="31">
        <f t="shared" si="0"/>
        <v>15755286.461735329</v>
      </c>
      <c r="F36" s="31">
        <f t="shared" si="1"/>
        <v>236329296.92602992</v>
      </c>
      <c r="G36" s="31">
        <f t="shared" si="2"/>
        <v>3781268750.8164787</v>
      </c>
    </row>
    <row r="37" spans="2:7" x14ac:dyDescent="0.2">
      <c r="B37" s="31">
        <v>17</v>
      </c>
      <c r="C37" s="17">
        <f>DurationM!C19</f>
        <v>34693405</v>
      </c>
      <c r="D37" s="32">
        <f t="shared" si="3"/>
        <v>16</v>
      </c>
      <c r="E37" s="31">
        <f t="shared" si="0"/>
        <v>15893448.567614054</v>
      </c>
      <c r="F37" s="31">
        <f t="shared" si="1"/>
        <v>254295177.08182487</v>
      </c>
      <c r="G37" s="31">
        <f t="shared" si="2"/>
        <v>4323018010.3910227</v>
      </c>
    </row>
    <row r="38" spans="2:7" x14ac:dyDescent="0.2">
      <c r="B38" s="31">
        <v>18</v>
      </c>
      <c r="C38" s="17">
        <f>DurationM!C20</f>
        <v>37158439</v>
      </c>
      <c r="D38" s="32">
        <f t="shared" si="3"/>
        <v>17</v>
      </c>
      <c r="E38" s="31">
        <f t="shared" si="0"/>
        <v>16212103.852490097</v>
      </c>
      <c r="F38" s="31">
        <f t="shared" si="1"/>
        <v>275605765.49233162</v>
      </c>
      <c r="G38" s="31">
        <f t="shared" si="2"/>
        <v>4960903778.861969</v>
      </c>
    </row>
    <row r="39" spans="2:7" x14ac:dyDescent="0.2">
      <c r="B39" s="31">
        <v>19</v>
      </c>
      <c r="C39" s="17">
        <f>DurationM!C21</f>
        <v>39151446</v>
      </c>
      <c r="D39" s="32">
        <f t="shared" si="3"/>
        <v>18</v>
      </c>
      <c r="E39" s="31">
        <f t="shared" si="0"/>
        <v>16268234.480928903</v>
      </c>
      <c r="F39" s="31">
        <f t="shared" si="1"/>
        <v>292828220.65672028</v>
      </c>
      <c r="G39" s="31">
        <f t="shared" si="2"/>
        <v>5563736192.477685</v>
      </c>
    </row>
    <row r="40" spans="2:7" x14ac:dyDescent="0.2">
      <c r="B40" s="31">
        <v>20</v>
      </c>
      <c r="C40" s="17">
        <f>DurationM!C22</f>
        <v>40880133</v>
      </c>
      <c r="D40" s="32">
        <f t="shared" si="3"/>
        <v>19</v>
      </c>
      <c r="E40" s="31">
        <f t="shared" si="0"/>
        <v>16177656.795456961</v>
      </c>
      <c r="F40" s="31">
        <f t="shared" si="1"/>
        <v>307375479.11368227</v>
      </c>
      <c r="G40" s="31">
        <f t="shared" si="2"/>
        <v>6147509582.2736454</v>
      </c>
    </row>
    <row r="41" spans="2:7" x14ac:dyDescent="0.2">
      <c r="B41" s="31">
        <v>21</v>
      </c>
      <c r="C41" s="17">
        <f>DurationM!C23</f>
        <v>42870412</v>
      </c>
      <c r="D41" s="32">
        <f t="shared" si="3"/>
        <v>20</v>
      </c>
      <c r="E41" s="31">
        <f t="shared" si="0"/>
        <v>16157407.409232479</v>
      </c>
      <c r="F41" s="31">
        <f t="shared" si="1"/>
        <v>323148148.18464959</v>
      </c>
      <c r="G41" s="31">
        <f t="shared" si="2"/>
        <v>6786111111.8776417</v>
      </c>
    </row>
    <row r="42" spans="2:7" x14ac:dyDescent="0.2">
      <c r="B42" s="31">
        <v>22</v>
      </c>
      <c r="C42" s="17">
        <f>DurationM!C24</f>
        <v>45007659</v>
      </c>
      <c r="D42" s="32">
        <f t="shared" si="3"/>
        <v>21</v>
      </c>
      <c r="E42" s="31">
        <f t="shared" si="0"/>
        <v>16155155.548413668</v>
      </c>
      <c r="F42" s="31">
        <f t="shared" si="1"/>
        <v>339258266.51668704</v>
      </c>
      <c r="G42" s="31">
        <f t="shared" si="2"/>
        <v>7463681863.367115</v>
      </c>
    </row>
    <row r="43" spans="2:7" x14ac:dyDescent="0.2">
      <c r="B43" s="31">
        <v>23</v>
      </c>
      <c r="C43" s="17">
        <f>DurationM!C25</f>
        <v>46548197</v>
      </c>
      <c r="D43" s="32">
        <f t="shared" si="3"/>
        <v>22</v>
      </c>
      <c r="E43" s="31">
        <f t="shared" si="0"/>
        <v>15912495.14376468</v>
      </c>
      <c r="F43" s="31">
        <f t="shared" si="1"/>
        <v>350074893.16282296</v>
      </c>
      <c r="G43" s="31">
        <f t="shared" si="2"/>
        <v>8051722542.7449284</v>
      </c>
    </row>
    <row r="44" spans="2:7" x14ac:dyDescent="0.2">
      <c r="B44" s="31">
        <v>24</v>
      </c>
      <c r="C44" s="17">
        <f>DurationM!C26</f>
        <v>48004382</v>
      </c>
      <c r="D44" s="32">
        <f t="shared" si="3"/>
        <v>23</v>
      </c>
      <c r="E44" s="31">
        <f t="shared" si="0"/>
        <v>15628849.331707571</v>
      </c>
      <c r="F44" s="31">
        <f t="shared" si="1"/>
        <v>359463534.62927413</v>
      </c>
      <c r="G44" s="31">
        <f t="shared" si="2"/>
        <v>8627124831.1025791</v>
      </c>
    </row>
    <row r="45" spans="2:7" x14ac:dyDescent="0.2">
      <c r="B45" s="31">
        <v>25</v>
      </c>
      <c r="C45" s="17">
        <f>DurationM!C27</f>
        <v>49356321</v>
      </c>
      <c r="D45" s="32">
        <f t="shared" si="3"/>
        <v>24</v>
      </c>
      <c r="E45" s="31">
        <f t="shared" si="0"/>
        <v>15303811.311709685</v>
      </c>
      <c r="F45" s="31">
        <f t="shared" si="1"/>
        <v>367291471.48103243</v>
      </c>
      <c r="G45" s="31">
        <f t="shared" si="2"/>
        <v>9182286787.0258102</v>
      </c>
    </row>
    <row r="46" spans="2:7" x14ac:dyDescent="0.2">
      <c r="B46" s="31">
        <v>26</v>
      </c>
      <c r="C46" s="17">
        <f>DurationM!C28</f>
        <v>50270765</v>
      </c>
      <c r="D46" s="32">
        <f t="shared" si="3"/>
        <v>25</v>
      </c>
      <c r="E46" s="31">
        <f t="shared" si="0"/>
        <v>14845096.239866849</v>
      </c>
      <c r="F46" s="31">
        <f t="shared" si="1"/>
        <v>371127405.9966712</v>
      </c>
      <c r="G46" s="31">
        <f t="shared" si="2"/>
        <v>9649312555.9134521</v>
      </c>
    </row>
    <row r="47" spans="2:7" x14ac:dyDescent="0.2">
      <c r="B47" s="31">
        <v>27</v>
      </c>
      <c r="C47" s="17">
        <f>DurationM!C29</f>
        <v>50907520</v>
      </c>
      <c r="D47" s="32">
        <f t="shared" si="3"/>
        <v>26</v>
      </c>
      <c r="E47" s="31">
        <f t="shared" si="0"/>
        <v>14317268.33929453</v>
      </c>
      <c r="F47" s="31">
        <f t="shared" si="1"/>
        <v>372248976.82165778</v>
      </c>
      <c r="G47" s="31">
        <f t="shared" si="2"/>
        <v>10050722374.184759</v>
      </c>
    </row>
    <row r="48" spans="2:7" x14ac:dyDescent="0.2">
      <c r="B48" s="31">
        <v>28</v>
      </c>
      <c r="C48" s="17">
        <f>DurationM!C30</f>
        <v>51125265</v>
      </c>
      <c r="D48" s="32">
        <f t="shared" si="3"/>
        <v>27</v>
      </c>
      <c r="E48" s="31">
        <f t="shared" si="0"/>
        <v>13693816.288691688</v>
      </c>
      <c r="F48" s="31">
        <f t="shared" si="1"/>
        <v>369733039.79467559</v>
      </c>
      <c r="G48" s="31">
        <f t="shared" si="2"/>
        <v>10352525114.250916</v>
      </c>
    </row>
    <row r="49" spans="2:7" x14ac:dyDescent="0.2">
      <c r="B49" s="31">
        <v>29</v>
      </c>
      <c r="C49" s="17">
        <f>DurationM!C31</f>
        <v>51169152</v>
      </c>
      <c r="D49" s="32">
        <f t="shared" si="3"/>
        <v>28</v>
      </c>
      <c r="E49" s="31">
        <f t="shared" si="0"/>
        <v>13052925.093207289</v>
      </c>
      <c r="F49" s="31">
        <f t="shared" si="1"/>
        <v>365481902.60980409</v>
      </c>
      <c r="G49" s="31">
        <f t="shared" si="2"/>
        <v>10598975175.684319</v>
      </c>
    </row>
    <row r="50" spans="2:7" x14ac:dyDescent="0.2">
      <c r="B50" s="31">
        <v>30</v>
      </c>
      <c r="C50" s="17">
        <f>DurationM!C32</f>
        <v>50911981</v>
      </c>
      <c r="D50" s="32">
        <f t="shared" si="3"/>
        <v>29</v>
      </c>
      <c r="E50" s="31">
        <f t="shared" si="0"/>
        <v>12368878.483285297</v>
      </c>
      <c r="F50" s="31">
        <f t="shared" si="1"/>
        <v>358697476.01527363</v>
      </c>
      <c r="G50" s="31">
        <f t="shared" si="2"/>
        <v>10760924280.458208</v>
      </c>
    </row>
    <row r="51" spans="2:7" x14ac:dyDescent="0.2">
      <c r="B51" s="31">
        <v>31</v>
      </c>
      <c r="C51" s="17">
        <f>DurationM!C33</f>
        <v>50468544</v>
      </c>
      <c r="D51" s="32">
        <f t="shared" si="3"/>
        <v>30</v>
      </c>
      <c r="E51" s="31">
        <f t="shared" si="0"/>
        <v>11677282.948095918</v>
      </c>
      <c r="F51" s="31">
        <f t="shared" si="1"/>
        <v>350318488.44287753</v>
      </c>
      <c r="G51" s="31">
        <f t="shared" si="2"/>
        <v>10859873141.729204</v>
      </c>
    </row>
    <row r="52" spans="2:7" x14ac:dyDescent="0.2">
      <c r="B52" s="31">
        <v>32</v>
      </c>
      <c r="C52" s="17">
        <f>DurationM!C34</f>
        <v>49742852</v>
      </c>
      <c r="D52" s="32">
        <f t="shared" si="3"/>
        <v>31</v>
      </c>
      <c r="E52" s="31">
        <f t="shared" si="0"/>
        <v>10961308.747262806</v>
      </c>
      <c r="F52" s="31">
        <f t="shared" si="1"/>
        <v>339800571.16514695</v>
      </c>
      <c r="G52" s="31">
        <f t="shared" si="2"/>
        <v>10873618277.284702</v>
      </c>
    </row>
    <row r="53" spans="2:7" x14ac:dyDescent="0.2">
      <c r="B53" s="31">
        <v>33</v>
      </c>
      <c r="C53" s="17">
        <f>DurationM!C35</f>
        <v>48841140</v>
      </c>
      <c r="D53" s="32">
        <f t="shared" si="3"/>
        <v>32</v>
      </c>
      <c r="E53" s="31">
        <f t="shared" si="0"/>
        <v>10250102.823259478</v>
      </c>
      <c r="F53" s="31">
        <f t="shared" si="1"/>
        <v>328003290.34430331</v>
      </c>
      <c r="G53" s="31">
        <f t="shared" si="2"/>
        <v>10824108581.362009</v>
      </c>
    </row>
    <row r="54" spans="2:7" x14ac:dyDescent="0.2">
      <c r="B54" s="31">
        <v>34</v>
      </c>
      <c r="C54" s="17">
        <f>DurationM!C36</f>
        <v>47675927</v>
      </c>
      <c r="D54" s="32">
        <f t="shared" si="3"/>
        <v>33</v>
      </c>
      <c r="E54" s="31">
        <f t="shared" si="0"/>
        <v>9529108.6073321998</v>
      </c>
      <c r="F54" s="31">
        <f t="shared" si="1"/>
        <v>314460584.04196262</v>
      </c>
      <c r="G54" s="31">
        <f t="shared" si="2"/>
        <v>10691659857.426729</v>
      </c>
    </row>
    <row r="55" spans="2:7" x14ac:dyDescent="0.2">
      <c r="B55" s="31">
        <v>35</v>
      </c>
      <c r="C55" s="17">
        <f>DurationM!C37</f>
        <v>46192160</v>
      </c>
      <c r="D55" s="32">
        <f t="shared" si="3"/>
        <v>34</v>
      </c>
      <c r="E55" s="31">
        <f t="shared" si="0"/>
        <v>8792899.3608244974</v>
      </c>
      <c r="F55" s="31">
        <f t="shared" si="1"/>
        <v>298958578.26803291</v>
      </c>
      <c r="G55" s="31">
        <f t="shared" si="2"/>
        <v>10463550239.381151</v>
      </c>
    </row>
    <row r="56" spans="2:7" x14ac:dyDescent="0.2">
      <c r="B56" s="31">
        <v>36</v>
      </c>
      <c r="C56" s="17">
        <f>DurationM!C38</f>
        <v>44435243</v>
      </c>
      <c r="D56" s="32">
        <f t="shared" si="3"/>
        <v>35</v>
      </c>
      <c r="E56" s="31">
        <f t="shared" si="0"/>
        <v>8055677.8831811063</v>
      </c>
      <c r="F56" s="31">
        <f t="shared" si="1"/>
        <v>281948725.91133875</v>
      </c>
      <c r="G56" s="31">
        <f t="shared" si="2"/>
        <v>10150154132.808195</v>
      </c>
    </row>
    <row r="57" spans="2:7" x14ac:dyDescent="0.2">
      <c r="B57" s="31">
        <v>37</v>
      </c>
      <c r="C57" s="17">
        <f>DurationM!C39</f>
        <v>42484026</v>
      </c>
      <c r="D57" s="32">
        <f t="shared" si="3"/>
        <v>36</v>
      </c>
      <c r="E57" s="31">
        <f t="shared" si="0"/>
        <v>7335182.0918726744</v>
      </c>
      <c r="F57" s="31">
        <f t="shared" si="1"/>
        <v>264066555.30741629</v>
      </c>
      <c r="G57" s="31">
        <f t="shared" si="2"/>
        <v>9770462546.374403</v>
      </c>
    </row>
    <row r="58" spans="2:7" x14ac:dyDescent="0.2">
      <c r="B58" s="31">
        <v>38</v>
      </c>
      <c r="C58" s="17">
        <f>DurationM!C40</f>
        <v>40381734</v>
      </c>
      <c r="D58" s="32">
        <f t="shared" si="3"/>
        <v>37</v>
      </c>
      <c r="E58" s="31">
        <f t="shared" si="0"/>
        <v>6640195.9908316256</v>
      </c>
      <c r="F58" s="31">
        <f t="shared" si="1"/>
        <v>245687251.66077015</v>
      </c>
      <c r="G58" s="31">
        <f t="shared" si="2"/>
        <v>9336115563.1092663</v>
      </c>
    </row>
    <row r="59" spans="2:7" x14ac:dyDescent="0.2">
      <c r="B59" s="31">
        <v>39</v>
      </c>
      <c r="C59" s="17">
        <f>DurationM!C41</f>
        <v>38145904</v>
      </c>
      <c r="D59" s="32">
        <f t="shared" si="3"/>
        <v>38</v>
      </c>
      <c r="E59" s="31">
        <f t="shared" si="0"/>
        <v>5973853.2091065897</v>
      </c>
      <c r="F59" s="31">
        <f t="shared" si="1"/>
        <v>227006421.94605041</v>
      </c>
      <c r="G59" s="31">
        <f t="shared" si="2"/>
        <v>8853250455.8959656</v>
      </c>
    </row>
    <row r="60" spans="2:7" x14ac:dyDescent="0.2">
      <c r="B60" s="31">
        <v>40</v>
      </c>
      <c r="C60" s="17">
        <f>DurationM!C42</f>
        <v>35824482</v>
      </c>
      <c r="D60" s="32">
        <f t="shared" si="3"/>
        <v>39</v>
      </c>
      <c r="E60" s="31">
        <f t="shared" si="0"/>
        <v>5343148.6381812217</v>
      </c>
      <c r="F60" s="31">
        <f t="shared" si="1"/>
        <v>208382796.88906765</v>
      </c>
      <c r="G60" s="31">
        <f t="shared" si="2"/>
        <v>8335311875.562706</v>
      </c>
    </row>
    <row r="61" spans="2:7" x14ac:dyDescent="0.2">
      <c r="B61" s="31">
        <v>41</v>
      </c>
      <c r="C61" s="17">
        <f>DurationM!C43</f>
        <v>33458143</v>
      </c>
      <c r="D61" s="32">
        <f t="shared" si="3"/>
        <v>40</v>
      </c>
      <c r="E61" s="31">
        <f t="shared" si="0"/>
        <v>4752584.7509352649</v>
      </c>
      <c r="F61" s="31">
        <f t="shared" si="1"/>
        <v>190103390.03741059</v>
      </c>
      <c r="G61" s="31">
        <f t="shared" si="2"/>
        <v>7794238991.5338345</v>
      </c>
    </row>
    <row r="62" spans="2:7" x14ac:dyDescent="0.2">
      <c r="B62" s="31">
        <v>42</v>
      </c>
      <c r="C62" s="17">
        <f>DurationM!C44</f>
        <v>31079665</v>
      </c>
      <c r="D62" s="32">
        <f t="shared" si="3"/>
        <v>41</v>
      </c>
      <c r="E62" s="31">
        <f t="shared" si="0"/>
        <v>4204506.8767514899</v>
      </c>
      <c r="F62" s="31">
        <f t="shared" si="1"/>
        <v>172384781.94681108</v>
      </c>
      <c r="G62" s="31">
        <f t="shared" si="2"/>
        <v>7240160841.7660656</v>
      </c>
    </row>
    <row r="63" spans="2:7" x14ac:dyDescent="0.2">
      <c r="B63" s="31">
        <v>43</v>
      </c>
      <c r="C63" s="17">
        <f>DurationM!C45</f>
        <v>28724397</v>
      </c>
      <c r="D63" s="32">
        <f t="shared" si="3"/>
        <v>42</v>
      </c>
      <c r="E63" s="31">
        <f t="shared" si="0"/>
        <v>3700840.4267837219</v>
      </c>
      <c r="F63" s="31">
        <f t="shared" si="1"/>
        <v>155435297.92491633</v>
      </c>
      <c r="G63" s="31">
        <f t="shared" si="2"/>
        <v>6683717810.7714024</v>
      </c>
    </row>
    <row r="64" spans="2:7" x14ac:dyDescent="0.2">
      <c r="B64" s="31">
        <v>44</v>
      </c>
      <c r="C64" s="17">
        <f>DurationM!C46</f>
        <v>26420763</v>
      </c>
      <c r="D64" s="32">
        <f t="shared" si="3"/>
        <v>43</v>
      </c>
      <c r="E64" s="31">
        <f t="shared" si="0"/>
        <v>3241943.899992601</v>
      </c>
      <c r="F64" s="31">
        <f t="shared" si="1"/>
        <v>139403587.69968185</v>
      </c>
      <c r="G64" s="31">
        <f t="shared" si="2"/>
        <v>6133757858.7860012</v>
      </c>
    </row>
    <row r="65" spans="2:7" x14ac:dyDescent="0.2">
      <c r="B65" s="31">
        <v>45</v>
      </c>
      <c r="C65" s="17">
        <f>DurationM!C47</f>
        <v>24188159</v>
      </c>
      <c r="D65" s="32">
        <f t="shared" si="3"/>
        <v>44</v>
      </c>
      <c r="E65" s="31">
        <f t="shared" si="0"/>
        <v>2826660.5364987683</v>
      </c>
      <c r="F65" s="31">
        <f t="shared" si="1"/>
        <v>124373063.6059458</v>
      </c>
      <c r="G65" s="31">
        <f t="shared" si="2"/>
        <v>5596787862.267561</v>
      </c>
    </row>
    <row r="66" spans="2:7" x14ac:dyDescent="0.2">
      <c r="B66" s="31">
        <v>46</v>
      </c>
      <c r="C66" s="17">
        <f>DurationM!C48</f>
        <v>22038921</v>
      </c>
      <c r="D66" s="32">
        <f t="shared" si="3"/>
        <v>45</v>
      </c>
      <c r="E66" s="31">
        <f t="shared" si="0"/>
        <v>2452854.9675784577</v>
      </c>
      <c r="F66" s="31">
        <f t="shared" si="1"/>
        <v>110378473.5410306</v>
      </c>
      <c r="G66" s="31">
        <f t="shared" si="2"/>
        <v>5077409782.8874073</v>
      </c>
    </row>
    <row r="67" spans="2:7" x14ac:dyDescent="0.2">
      <c r="B67" s="31">
        <v>47</v>
      </c>
      <c r="C67" s="17">
        <f>DurationM!C49</f>
        <v>19981828</v>
      </c>
      <c r="D67" s="32">
        <f t="shared" si="3"/>
        <v>46</v>
      </c>
      <c r="E67" s="31">
        <f t="shared" si="0"/>
        <v>2118007.3315834692</v>
      </c>
      <c r="F67" s="31">
        <f t="shared" si="1"/>
        <v>97428337.25283958</v>
      </c>
      <c r="G67" s="31">
        <f t="shared" si="2"/>
        <v>4579131850.88346</v>
      </c>
    </row>
    <row r="68" spans="2:7" x14ac:dyDescent="0.2">
      <c r="B68" s="31">
        <v>48</v>
      </c>
      <c r="C68" s="17">
        <f>DurationM!C50</f>
        <v>18024578</v>
      </c>
      <c r="D68" s="32">
        <f t="shared" si="3"/>
        <v>47</v>
      </c>
      <c r="E68" s="31">
        <f t="shared" si="0"/>
        <v>1819566.9896476553</v>
      </c>
      <c r="F68" s="31">
        <f t="shared" si="1"/>
        <v>85519648.513439804</v>
      </c>
      <c r="G68" s="31">
        <f t="shared" si="2"/>
        <v>4104943128.6451106</v>
      </c>
    </row>
    <row r="69" spans="2:7" x14ac:dyDescent="0.2">
      <c r="B69" s="31">
        <v>49</v>
      </c>
      <c r="C69" s="17">
        <f>DurationM!C51</f>
        <v>16173124</v>
      </c>
      <c r="D69" s="32">
        <f t="shared" si="3"/>
        <v>48</v>
      </c>
      <c r="E69" s="31">
        <f t="shared" si="0"/>
        <v>1554918.2502690677</v>
      </c>
      <c r="F69" s="31">
        <f t="shared" si="1"/>
        <v>74636076.012915254</v>
      </c>
      <c r="G69" s="31">
        <f t="shared" si="2"/>
        <v>3657167724.6328473</v>
      </c>
    </row>
    <row r="70" spans="2:7" x14ac:dyDescent="0.2">
      <c r="B70" s="31">
        <v>50</v>
      </c>
      <c r="C70" s="17">
        <f>DurationM!C52</f>
        <v>14432005</v>
      </c>
      <c r="D70" s="32">
        <f t="shared" si="3"/>
        <v>49</v>
      </c>
      <c r="E70" s="31">
        <f t="shared" si="0"/>
        <v>1321450.8548682332</v>
      </c>
      <c r="F70" s="31">
        <f t="shared" si="1"/>
        <v>64751091.888543427</v>
      </c>
      <c r="G70" s="31">
        <f t="shared" si="2"/>
        <v>3237554594.4271712</v>
      </c>
    </row>
    <row r="71" spans="2:7" x14ac:dyDescent="0.2">
      <c r="B71" s="31">
        <v>51</v>
      </c>
      <c r="C71" s="17">
        <f>DurationM!C53</f>
        <v>12804620</v>
      </c>
      <c r="D71" s="32">
        <f t="shared" si="3"/>
        <v>50</v>
      </c>
      <c r="E71" s="31">
        <f t="shared" si="0"/>
        <v>1116610.586465084</v>
      </c>
      <c r="F71" s="31">
        <f t="shared" si="1"/>
        <v>55830529.323254198</v>
      </c>
      <c r="G71" s="31">
        <f t="shared" si="2"/>
        <v>2847356995.4859643</v>
      </c>
    </row>
    <row r="72" spans="2:7" x14ac:dyDescent="0.2">
      <c r="B72" s="31">
        <v>52</v>
      </c>
      <c r="C72" s="17">
        <f>DurationM!C54</f>
        <v>11293094</v>
      </c>
      <c r="D72" s="32">
        <f t="shared" si="3"/>
        <v>51</v>
      </c>
      <c r="E72" s="31">
        <f t="shared" si="0"/>
        <v>937904.65318993281</v>
      </c>
      <c r="F72" s="31">
        <f t="shared" si="1"/>
        <v>47833137.31268657</v>
      </c>
      <c r="G72" s="31">
        <f t="shared" si="2"/>
        <v>2487323140.2597017</v>
      </c>
    </row>
    <row r="73" spans="2:7" x14ac:dyDescent="0.2">
      <c r="B73" s="31">
        <v>53</v>
      </c>
      <c r="C73" s="17">
        <f>DurationM!C55</f>
        <v>9898270</v>
      </c>
      <c r="D73" s="32">
        <f t="shared" si="3"/>
        <v>52</v>
      </c>
      <c r="E73" s="31">
        <f t="shared" si="0"/>
        <v>782917.03816680785</v>
      </c>
      <c r="F73" s="31">
        <f t="shared" si="1"/>
        <v>40711685.984674007</v>
      </c>
      <c r="G73" s="31">
        <f t="shared" si="2"/>
        <v>2157719357.1877222</v>
      </c>
    </row>
    <row r="74" spans="2:7" x14ac:dyDescent="0.2">
      <c r="B74" s="31">
        <v>54</v>
      </c>
      <c r="C74" s="17">
        <f>DurationM!C56</f>
        <v>8619497</v>
      </c>
      <c r="D74" s="32">
        <f t="shared" si="3"/>
        <v>53</v>
      </c>
      <c r="E74" s="31">
        <f t="shared" si="0"/>
        <v>649305.4858242122</v>
      </c>
      <c r="F74" s="31">
        <f t="shared" si="1"/>
        <v>34413190.748683244</v>
      </c>
      <c r="G74" s="31">
        <f t="shared" si="2"/>
        <v>1858312300.4288952</v>
      </c>
    </row>
    <row r="75" spans="2:7" x14ac:dyDescent="0.2">
      <c r="B75" s="31">
        <v>55</v>
      </c>
      <c r="C75" s="17">
        <f>DurationM!C57</f>
        <v>7454934</v>
      </c>
      <c r="D75" s="32">
        <f t="shared" si="3"/>
        <v>54</v>
      </c>
      <c r="E75" s="31">
        <f t="shared" si="0"/>
        <v>534837.25742514047</v>
      </c>
      <c r="F75" s="31">
        <f t="shared" si="1"/>
        <v>28881211.900957584</v>
      </c>
      <c r="G75" s="31">
        <f t="shared" si="2"/>
        <v>1588466654.5526671</v>
      </c>
    </row>
    <row r="76" spans="2:7" x14ac:dyDescent="0.2">
      <c r="B76" s="31">
        <v>56</v>
      </c>
      <c r="C76" s="17">
        <f>DurationM!C58</f>
        <v>6401930</v>
      </c>
      <c r="D76" s="32">
        <f t="shared" si="3"/>
        <v>55</v>
      </c>
      <c r="E76" s="31">
        <f t="shared" si="0"/>
        <v>437420.84209282184</v>
      </c>
      <c r="F76" s="31">
        <f t="shared" si="1"/>
        <v>24058146.3151052</v>
      </c>
      <c r="G76" s="31">
        <f t="shared" si="2"/>
        <v>1347256193.6458912</v>
      </c>
    </row>
    <row r="77" spans="2:7" x14ac:dyDescent="0.2">
      <c r="B77" s="31">
        <v>57</v>
      </c>
      <c r="C77" s="17">
        <f>DurationM!C59</f>
        <v>5456719</v>
      </c>
      <c r="D77" s="32">
        <f t="shared" si="3"/>
        <v>56</v>
      </c>
      <c r="E77" s="31">
        <f t="shared" si="0"/>
        <v>355083.78612370853</v>
      </c>
      <c r="F77" s="31">
        <f t="shared" si="1"/>
        <v>19884692.022927679</v>
      </c>
      <c r="G77" s="31">
        <f t="shared" si="2"/>
        <v>1133427445.3068776</v>
      </c>
    </row>
    <row r="78" spans="2:7" x14ac:dyDescent="0.2">
      <c r="B78" s="31">
        <v>58</v>
      </c>
      <c r="C78" s="17">
        <f>DurationM!C60</f>
        <v>4614605</v>
      </c>
      <c r="D78" s="32">
        <f t="shared" si="3"/>
        <v>57</v>
      </c>
      <c r="E78" s="31">
        <f t="shared" si="0"/>
        <v>285985.81027055089</v>
      </c>
      <c r="F78" s="31">
        <f t="shared" si="1"/>
        <v>16301191.185421402</v>
      </c>
      <c r="G78" s="31">
        <f t="shared" si="2"/>
        <v>945469088.75444126</v>
      </c>
    </row>
    <row r="79" spans="2:7" x14ac:dyDescent="0.2">
      <c r="B79" s="31">
        <v>59</v>
      </c>
      <c r="C79" s="17">
        <f>DurationM!C61</f>
        <v>3870118</v>
      </c>
      <c r="D79" s="32">
        <f t="shared" si="3"/>
        <v>58</v>
      </c>
      <c r="E79" s="31">
        <f t="shared" si="0"/>
        <v>228425.64548503511</v>
      </c>
      <c r="F79" s="31">
        <f t="shared" si="1"/>
        <v>13248687.438132036</v>
      </c>
      <c r="G79" s="31">
        <f t="shared" si="2"/>
        <v>781672558.8497901</v>
      </c>
    </row>
    <row r="80" spans="2:7" x14ac:dyDescent="0.2">
      <c r="B80" s="31">
        <v>60</v>
      </c>
      <c r="C80" s="17">
        <f>DurationM!C62</f>
        <v>3217240</v>
      </c>
      <c r="D80" s="32">
        <f t="shared" si="3"/>
        <v>59</v>
      </c>
      <c r="E80" s="31">
        <f t="shared" si="0"/>
        <v>180848.45983907967</v>
      </c>
      <c r="F80" s="31">
        <f t="shared" si="1"/>
        <v>10670059.130505702</v>
      </c>
      <c r="G80" s="31">
        <f t="shared" si="2"/>
        <v>640203547.83034205</v>
      </c>
    </row>
    <row r="81" spans="2:7" x14ac:dyDescent="0.2">
      <c r="B81" s="31">
        <v>61</v>
      </c>
      <c r="C81" s="17">
        <f>DurationM!C63</f>
        <v>2649797</v>
      </c>
      <c r="D81" s="32">
        <f t="shared" si="3"/>
        <v>60</v>
      </c>
      <c r="E81" s="31">
        <f t="shared" si="0"/>
        <v>141858.27021688921</v>
      </c>
      <c r="F81" s="31">
        <f t="shared" si="1"/>
        <v>8511496.2130133528</v>
      </c>
      <c r="G81" s="31">
        <f t="shared" si="2"/>
        <v>519201268.99381453</v>
      </c>
    </row>
    <row r="82" spans="2:7" x14ac:dyDescent="0.2">
      <c r="B82" s="31">
        <v>62</v>
      </c>
      <c r="C82" s="17">
        <f>DurationM!C64</f>
        <v>2161000</v>
      </c>
      <c r="D82" s="32">
        <f t="shared" si="3"/>
        <v>61</v>
      </c>
      <c r="E82" s="31">
        <f t="shared" si="0"/>
        <v>110181.20649159432</v>
      </c>
      <c r="F82" s="31">
        <f t="shared" si="1"/>
        <v>6721053.5959872538</v>
      </c>
      <c r="G82" s="31">
        <f t="shared" si="2"/>
        <v>416705322.95120972</v>
      </c>
    </row>
    <row r="83" spans="2:7" x14ac:dyDescent="0.2">
      <c r="B83" s="31">
        <v>63</v>
      </c>
      <c r="C83" s="17">
        <f>DurationM!C65</f>
        <v>1743832</v>
      </c>
      <c r="D83" s="32">
        <f t="shared" si="3"/>
        <v>62</v>
      </c>
      <c r="E83" s="31">
        <f t="shared" si="0"/>
        <v>84677.514236640884</v>
      </c>
      <c r="F83" s="31">
        <f t="shared" si="1"/>
        <v>5250005.8826717343</v>
      </c>
      <c r="G83" s="31">
        <f t="shared" si="2"/>
        <v>330750370.60831928</v>
      </c>
    </row>
    <row r="84" spans="2:7" x14ac:dyDescent="0.2">
      <c r="B84" s="31">
        <v>64</v>
      </c>
      <c r="C84" s="17">
        <f>DurationM!C66</f>
        <v>1391546</v>
      </c>
      <c r="D84" s="32">
        <f t="shared" si="3"/>
        <v>63</v>
      </c>
      <c r="E84" s="31">
        <f t="shared" si="0"/>
        <v>64353.433907646307</v>
      </c>
      <c r="F84" s="31">
        <f t="shared" si="1"/>
        <v>4054266.3361817175</v>
      </c>
      <c r="G84" s="31">
        <f t="shared" si="2"/>
        <v>259473045.51562992</v>
      </c>
    </row>
    <row r="85" spans="2:7" x14ac:dyDescent="0.2">
      <c r="B85" s="31">
        <v>65</v>
      </c>
      <c r="C85" s="17">
        <f>DurationM!C67</f>
        <v>1097090</v>
      </c>
      <c r="D85" s="32">
        <f t="shared" si="3"/>
        <v>64</v>
      </c>
      <c r="E85" s="31">
        <f t="shared" si="0"/>
        <v>48320.021182154647</v>
      </c>
      <c r="F85" s="31">
        <f t="shared" si="1"/>
        <v>3092481.3556578974</v>
      </c>
      <c r="G85" s="31">
        <f t="shared" si="2"/>
        <v>201011288.11776334</v>
      </c>
    </row>
    <row r="86" spans="2:7" x14ac:dyDescent="0.2">
      <c r="B86" s="31">
        <v>66</v>
      </c>
      <c r="C86" s="17">
        <f>DurationM!C68</f>
        <v>853565</v>
      </c>
      <c r="D86" s="32">
        <f t="shared" si="3"/>
        <v>65</v>
      </c>
      <c r="E86" s="31">
        <f t="shared" ref="E86:E140" si="4">C86/(1+$G$4)^D86</f>
        <v>35804.050351684324</v>
      </c>
      <c r="F86" s="31">
        <f t="shared" ref="F86:F140" si="5">D86*E86</f>
        <v>2327263.2728594812</v>
      </c>
      <c r="G86" s="31">
        <f t="shared" ref="G86:G140" si="6">F86*(1+D86)</f>
        <v>153599376.00872576</v>
      </c>
    </row>
    <row r="87" spans="2:7" x14ac:dyDescent="0.2">
      <c r="B87" s="31">
        <v>67</v>
      </c>
      <c r="C87" s="17">
        <f>DurationM!C69</f>
        <v>654700</v>
      </c>
      <c r="D87" s="32">
        <f t="shared" ref="D87:D140" si="7">D86+1</f>
        <v>66</v>
      </c>
      <c r="E87" s="31">
        <f t="shared" si="4"/>
        <v>26154.631307123072</v>
      </c>
      <c r="F87" s="31">
        <f t="shared" si="5"/>
        <v>1726205.6662701229</v>
      </c>
      <c r="G87" s="31">
        <f t="shared" si="6"/>
        <v>115655779.64009823</v>
      </c>
    </row>
    <row r="88" spans="2:7" x14ac:dyDescent="0.2">
      <c r="B88" s="31">
        <v>68</v>
      </c>
      <c r="C88" s="17">
        <f>DurationM!C70</f>
        <v>494476</v>
      </c>
      <c r="D88" s="32">
        <f t="shared" si="7"/>
        <v>67</v>
      </c>
      <c r="E88" s="31">
        <f t="shared" si="4"/>
        <v>18813.178657212662</v>
      </c>
      <c r="F88" s="31">
        <f t="shared" si="5"/>
        <v>1260482.9700332484</v>
      </c>
      <c r="G88" s="31">
        <f t="shared" si="6"/>
        <v>85712841.962260887</v>
      </c>
    </row>
    <row r="89" spans="2:7" x14ac:dyDescent="0.2">
      <c r="B89" s="31">
        <v>69</v>
      </c>
      <c r="C89" s="17">
        <f>DurationM!C71</f>
        <v>367170</v>
      </c>
      <c r="D89" s="32">
        <f t="shared" si="7"/>
        <v>68</v>
      </c>
      <c r="E89" s="31">
        <f t="shared" si="4"/>
        <v>13304.386495466242</v>
      </c>
      <c r="F89" s="31">
        <f t="shared" si="5"/>
        <v>904698.28169170441</v>
      </c>
      <c r="G89" s="31">
        <f t="shared" si="6"/>
        <v>62424181.436727606</v>
      </c>
    </row>
    <row r="90" spans="2:7" x14ac:dyDescent="0.2">
      <c r="B90" s="31">
        <v>70</v>
      </c>
      <c r="C90" s="17">
        <f>DurationM!C72</f>
        <v>267594</v>
      </c>
      <c r="D90" s="32">
        <f t="shared" si="7"/>
        <v>69</v>
      </c>
      <c r="E90" s="31">
        <f t="shared" si="4"/>
        <v>9234.5287050575862</v>
      </c>
      <c r="F90" s="31">
        <f t="shared" si="5"/>
        <v>637182.48064897349</v>
      </c>
      <c r="G90" s="31">
        <f t="shared" si="6"/>
        <v>44602773.645428143</v>
      </c>
    </row>
    <row r="91" spans="2:7" x14ac:dyDescent="0.2">
      <c r="B91" s="31">
        <v>71</v>
      </c>
      <c r="C91" s="17">
        <f>DurationM!C73</f>
        <v>191058</v>
      </c>
      <c r="D91" s="32">
        <f t="shared" si="7"/>
        <v>70</v>
      </c>
      <c r="E91" s="31">
        <f t="shared" si="4"/>
        <v>6279.3442422934686</v>
      </c>
      <c r="F91" s="31">
        <f t="shared" si="5"/>
        <v>439554.09696054278</v>
      </c>
      <c r="G91" s="31">
        <f t="shared" si="6"/>
        <v>31208340.884198539</v>
      </c>
    </row>
    <row r="92" spans="2:7" x14ac:dyDescent="0.2">
      <c r="B92" s="31">
        <v>72</v>
      </c>
      <c r="C92" s="17">
        <f>DurationM!C74</f>
        <v>133400</v>
      </c>
      <c r="D92" s="32">
        <f t="shared" si="7"/>
        <v>71</v>
      </c>
      <c r="E92" s="31">
        <f t="shared" si="4"/>
        <v>4175.568336127043</v>
      </c>
      <c r="F92" s="31">
        <f t="shared" si="5"/>
        <v>296465.35186502006</v>
      </c>
      <c r="G92" s="31">
        <f t="shared" si="6"/>
        <v>21345505.334281445</v>
      </c>
    </row>
    <row r="93" spans="2:7" x14ac:dyDescent="0.2">
      <c r="B93" s="31">
        <v>73</v>
      </c>
      <c r="C93" s="17">
        <f>DurationM!C75</f>
        <v>90936</v>
      </c>
      <c r="D93" s="32">
        <f t="shared" si="7"/>
        <v>72</v>
      </c>
      <c r="E93" s="31">
        <f t="shared" si="4"/>
        <v>2710.8551596633738</v>
      </c>
      <c r="F93" s="31">
        <f t="shared" si="5"/>
        <v>195181.57149576291</v>
      </c>
      <c r="G93" s="31">
        <f t="shared" si="6"/>
        <v>14248254.719190693</v>
      </c>
    </row>
    <row r="94" spans="2:7" x14ac:dyDescent="0.2">
      <c r="B94" s="31">
        <v>74</v>
      </c>
      <c r="C94" s="17">
        <f>DurationM!C76</f>
        <v>60430</v>
      </c>
      <c r="D94" s="32">
        <f t="shared" si="7"/>
        <v>73</v>
      </c>
      <c r="E94" s="31">
        <f t="shared" si="4"/>
        <v>1715.6700190867643</v>
      </c>
      <c r="F94" s="31">
        <f t="shared" si="5"/>
        <v>125243.91139333379</v>
      </c>
      <c r="G94" s="31">
        <f t="shared" si="6"/>
        <v>9268049.4431067016</v>
      </c>
    </row>
    <row r="95" spans="2:7" x14ac:dyDescent="0.2">
      <c r="B95" s="31">
        <v>75</v>
      </c>
      <c r="C95" s="17">
        <f>DurationM!C77</f>
        <v>39039</v>
      </c>
      <c r="D95" s="32">
        <f t="shared" si="7"/>
        <v>74</v>
      </c>
      <c r="E95" s="31">
        <f t="shared" si="4"/>
        <v>1055.5785422744646</v>
      </c>
      <c r="F95" s="31">
        <f t="shared" si="5"/>
        <v>78112.812128310383</v>
      </c>
      <c r="G95" s="31">
        <f t="shared" si="6"/>
        <v>5858460.9096232783</v>
      </c>
    </row>
    <row r="96" spans="2:7" x14ac:dyDescent="0.2">
      <c r="B96" s="31">
        <v>76</v>
      </c>
      <c r="C96" s="17">
        <f>DurationM!C78</f>
        <v>24441</v>
      </c>
      <c r="D96" s="32">
        <f t="shared" si="7"/>
        <v>75</v>
      </c>
      <c r="E96" s="31">
        <f t="shared" si="4"/>
        <v>629.39246715995091</v>
      </c>
      <c r="F96" s="31">
        <f t="shared" si="5"/>
        <v>47204.435036996321</v>
      </c>
      <c r="G96" s="31">
        <f t="shared" si="6"/>
        <v>3587537.0628117202</v>
      </c>
    </row>
    <row r="97" spans="2:7" x14ac:dyDescent="0.2">
      <c r="B97" s="31">
        <v>77</v>
      </c>
      <c r="C97" s="17">
        <f>DurationM!C79</f>
        <v>14788</v>
      </c>
      <c r="D97" s="32">
        <f t="shared" si="7"/>
        <v>76</v>
      </c>
      <c r="E97" s="31">
        <f t="shared" si="4"/>
        <v>362.67925302570637</v>
      </c>
      <c r="F97" s="31">
        <f t="shared" si="5"/>
        <v>27563.623229953686</v>
      </c>
      <c r="G97" s="31">
        <f t="shared" si="6"/>
        <v>2122398.9887064337</v>
      </c>
    </row>
    <row r="98" spans="2:7" x14ac:dyDescent="0.2">
      <c r="B98" s="31">
        <v>78</v>
      </c>
      <c r="C98" s="17">
        <f>DurationM!C80</f>
        <v>8622</v>
      </c>
      <c r="D98" s="32">
        <f t="shared" si="7"/>
        <v>77</v>
      </c>
      <c r="E98" s="31">
        <f t="shared" si="4"/>
        <v>201.3872586258897</v>
      </c>
      <c r="F98" s="31">
        <f t="shared" si="5"/>
        <v>15506.818914193507</v>
      </c>
      <c r="G98" s="31">
        <f t="shared" si="6"/>
        <v>1209531.8753070936</v>
      </c>
    </row>
    <row r="99" spans="2:7" x14ac:dyDescent="0.2">
      <c r="B99" s="31">
        <v>79</v>
      </c>
      <c r="C99" s="17">
        <f>DurationM!C81</f>
        <v>4833</v>
      </c>
      <c r="D99" s="32">
        <f t="shared" si="7"/>
        <v>78</v>
      </c>
      <c r="E99" s="31">
        <f t="shared" si="4"/>
        <v>107.51064507615351</v>
      </c>
      <c r="F99" s="31">
        <f t="shared" si="5"/>
        <v>8385.8303159399729</v>
      </c>
      <c r="G99" s="31">
        <f t="shared" si="6"/>
        <v>662480.59495925787</v>
      </c>
    </row>
    <row r="100" spans="2:7" x14ac:dyDescent="0.2">
      <c r="B100" s="31">
        <v>80</v>
      </c>
      <c r="C100" s="17">
        <f>DurationM!C82</f>
        <v>2605</v>
      </c>
      <c r="D100" s="32">
        <f t="shared" si="7"/>
        <v>79</v>
      </c>
      <c r="E100" s="31">
        <f t="shared" si="4"/>
        <v>55.189073221479269</v>
      </c>
      <c r="F100" s="31">
        <f t="shared" si="5"/>
        <v>4359.9367844968619</v>
      </c>
      <c r="G100" s="31">
        <f t="shared" si="6"/>
        <v>348794.94275974896</v>
      </c>
    </row>
    <row r="101" spans="2:7" x14ac:dyDescent="0.2">
      <c r="B101" s="31">
        <v>81</v>
      </c>
      <c r="C101" s="17">
        <f>DurationM!C83</f>
        <v>1349</v>
      </c>
      <c r="D101" s="32">
        <f t="shared" si="7"/>
        <v>80</v>
      </c>
      <c r="E101" s="31">
        <f t="shared" si="4"/>
        <v>27.218740435344316</v>
      </c>
      <c r="F101" s="31">
        <f t="shared" si="5"/>
        <v>2177.4992348275455</v>
      </c>
      <c r="G101" s="31">
        <f t="shared" si="6"/>
        <v>176377.43802103118</v>
      </c>
    </row>
    <row r="102" spans="2:7" x14ac:dyDescent="0.2">
      <c r="B102" s="31">
        <v>82</v>
      </c>
      <c r="C102" s="17">
        <f>DurationM!C84</f>
        <v>670</v>
      </c>
      <c r="D102" s="32">
        <f t="shared" si="7"/>
        <v>81</v>
      </c>
      <c r="E102" s="31">
        <f t="shared" si="4"/>
        <v>12.874832215525213</v>
      </c>
      <c r="F102" s="31">
        <f t="shared" si="5"/>
        <v>1042.8614094575423</v>
      </c>
      <c r="G102" s="31">
        <f t="shared" si="6"/>
        <v>85514.635575518478</v>
      </c>
    </row>
    <row r="103" spans="2:7" x14ac:dyDescent="0.2">
      <c r="B103" s="31">
        <v>83</v>
      </c>
      <c r="C103" s="17">
        <f>DurationM!C85</f>
        <v>318</v>
      </c>
      <c r="D103" s="32">
        <f t="shared" si="7"/>
        <v>82</v>
      </c>
      <c r="E103" s="31">
        <f t="shared" si="4"/>
        <v>5.8197535814314403</v>
      </c>
      <c r="F103" s="31">
        <f t="shared" si="5"/>
        <v>477.21979367737811</v>
      </c>
      <c r="G103" s="31">
        <f t="shared" si="6"/>
        <v>39609.242875222386</v>
      </c>
    </row>
    <row r="104" spans="2:7" x14ac:dyDescent="0.2">
      <c r="B104" s="31">
        <v>84</v>
      </c>
      <c r="C104" s="17">
        <f>DurationM!C86</f>
        <v>146</v>
      </c>
      <c r="D104" s="32">
        <f t="shared" si="7"/>
        <v>83</v>
      </c>
      <c r="E104" s="31">
        <f t="shared" si="4"/>
        <v>2.5447260344084763</v>
      </c>
      <c r="F104" s="31">
        <f t="shared" si="5"/>
        <v>211.21226085590354</v>
      </c>
      <c r="G104" s="31">
        <f t="shared" si="6"/>
        <v>17741.829911895897</v>
      </c>
    </row>
    <row r="105" spans="2:7" x14ac:dyDescent="0.2">
      <c r="B105" s="31">
        <v>85</v>
      </c>
      <c r="C105" s="17">
        <f>DurationM!C87</f>
        <v>64</v>
      </c>
      <c r="D105" s="32">
        <f t="shared" si="7"/>
        <v>84</v>
      </c>
      <c r="E105" s="31">
        <f t="shared" si="4"/>
        <v>1.0623774703336104</v>
      </c>
      <c r="F105" s="31">
        <f t="shared" si="5"/>
        <v>89.239707508023272</v>
      </c>
      <c r="G105" s="31">
        <f t="shared" si="6"/>
        <v>7585.3751381819784</v>
      </c>
    </row>
    <row r="106" spans="2:7" x14ac:dyDescent="0.2">
      <c r="B106" s="31">
        <v>86</v>
      </c>
      <c r="C106" s="17">
        <f>DurationM!C88</f>
        <v>28</v>
      </c>
      <c r="D106" s="32">
        <f t="shared" si="7"/>
        <v>85</v>
      </c>
      <c r="E106" s="31">
        <f t="shared" si="4"/>
        <v>0.44265727930567106</v>
      </c>
      <c r="F106" s="31">
        <f t="shared" si="5"/>
        <v>37.625868740982042</v>
      </c>
      <c r="G106" s="31">
        <f t="shared" si="6"/>
        <v>3235.8247117244555</v>
      </c>
    </row>
    <row r="107" spans="2:7" x14ac:dyDescent="0.2">
      <c r="B107" s="31">
        <v>87</v>
      </c>
      <c r="C107" s="17">
        <f>DurationM!C89</f>
        <v>12</v>
      </c>
      <c r="D107" s="32">
        <f t="shared" si="7"/>
        <v>86</v>
      </c>
      <c r="E107" s="31">
        <f t="shared" si="4"/>
        <v>0.18067644053292697</v>
      </c>
      <c r="F107" s="31">
        <f t="shared" si="5"/>
        <v>15.53817388583172</v>
      </c>
      <c r="G107" s="31">
        <f t="shared" si="6"/>
        <v>1351.8211280673595</v>
      </c>
    </row>
    <row r="108" spans="2:7" x14ac:dyDescent="0.2">
      <c r="B108" s="31">
        <v>88</v>
      </c>
      <c r="C108" s="17">
        <f>DurationM!C90</f>
        <v>5</v>
      </c>
      <c r="D108" s="32">
        <f t="shared" si="7"/>
        <v>87</v>
      </c>
      <c r="E108" s="31">
        <f t="shared" si="4"/>
        <v>7.1697000211478942E-2</v>
      </c>
      <c r="F108" s="31">
        <f t="shared" si="5"/>
        <v>6.2376390183986681</v>
      </c>
      <c r="G108" s="31">
        <f t="shared" si="6"/>
        <v>548.91223361908283</v>
      </c>
    </row>
    <row r="109" spans="2:7" x14ac:dyDescent="0.2">
      <c r="B109" s="31">
        <v>89</v>
      </c>
      <c r="C109" s="17">
        <f>DurationM!C91</f>
        <v>1</v>
      </c>
      <c r="D109" s="32">
        <f t="shared" si="7"/>
        <v>88</v>
      </c>
      <c r="E109" s="31">
        <f t="shared" si="4"/>
        <v>1.3656571468853134E-2</v>
      </c>
      <c r="F109" s="31">
        <f t="shared" si="5"/>
        <v>1.2017782892590758</v>
      </c>
      <c r="G109" s="31">
        <f t="shared" si="6"/>
        <v>106.95826774405775</v>
      </c>
    </row>
    <row r="110" spans="2:7" x14ac:dyDescent="0.2">
      <c r="B110" s="31">
        <v>90</v>
      </c>
      <c r="C110" s="17">
        <f>DurationM!C92</f>
        <v>0</v>
      </c>
      <c r="D110" s="32">
        <f t="shared" si="7"/>
        <v>89</v>
      </c>
      <c r="E110" s="31">
        <f t="shared" si="4"/>
        <v>0</v>
      </c>
      <c r="F110" s="31">
        <f t="shared" si="5"/>
        <v>0</v>
      </c>
      <c r="G110" s="31">
        <f t="shared" si="6"/>
        <v>0</v>
      </c>
    </row>
    <row r="111" spans="2:7" x14ac:dyDescent="0.2">
      <c r="B111" s="31">
        <v>91</v>
      </c>
      <c r="C111" s="17">
        <f>DurationM!C93</f>
        <v>0</v>
      </c>
      <c r="D111" s="32">
        <f t="shared" si="7"/>
        <v>90</v>
      </c>
      <c r="E111" s="31">
        <f t="shared" si="4"/>
        <v>0</v>
      </c>
      <c r="F111" s="31">
        <f t="shared" si="5"/>
        <v>0</v>
      </c>
      <c r="G111" s="31">
        <f t="shared" si="6"/>
        <v>0</v>
      </c>
    </row>
    <row r="112" spans="2:7" x14ac:dyDescent="0.2">
      <c r="B112" s="31">
        <v>92</v>
      </c>
      <c r="C112" s="17">
        <f>DurationM!C94</f>
        <v>0</v>
      </c>
      <c r="D112" s="32">
        <f t="shared" si="7"/>
        <v>91</v>
      </c>
      <c r="E112" s="31">
        <f t="shared" si="4"/>
        <v>0</v>
      </c>
      <c r="F112" s="31">
        <f t="shared" si="5"/>
        <v>0</v>
      </c>
      <c r="G112" s="31">
        <f t="shared" si="6"/>
        <v>0</v>
      </c>
    </row>
    <row r="113" spans="2:7" x14ac:dyDescent="0.2">
      <c r="B113" s="31">
        <v>93</v>
      </c>
      <c r="C113" s="17">
        <f>DurationM!C95</f>
        <v>0</v>
      </c>
      <c r="D113" s="32">
        <f t="shared" si="7"/>
        <v>92</v>
      </c>
      <c r="E113" s="31">
        <f t="shared" si="4"/>
        <v>0</v>
      </c>
      <c r="F113" s="31">
        <f t="shared" si="5"/>
        <v>0</v>
      </c>
      <c r="G113" s="31">
        <f t="shared" si="6"/>
        <v>0</v>
      </c>
    </row>
    <row r="114" spans="2:7" x14ac:dyDescent="0.2">
      <c r="B114" s="31">
        <v>94</v>
      </c>
      <c r="C114" s="17">
        <f>DurationM!C96</f>
        <v>0</v>
      </c>
      <c r="D114" s="32">
        <f t="shared" si="7"/>
        <v>93</v>
      </c>
      <c r="E114" s="31">
        <f t="shared" si="4"/>
        <v>0</v>
      </c>
      <c r="F114" s="31">
        <f t="shared" si="5"/>
        <v>0</v>
      </c>
      <c r="G114" s="31">
        <f t="shared" si="6"/>
        <v>0</v>
      </c>
    </row>
    <row r="115" spans="2:7" x14ac:dyDescent="0.2">
      <c r="B115" s="31">
        <v>95</v>
      </c>
      <c r="C115" s="17">
        <f>DurationM!C97</f>
        <v>0</v>
      </c>
      <c r="D115" s="32">
        <f t="shared" si="7"/>
        <v>94</v>
      </c>
      <c r="E115" s="31">
        <f t="shared" si="4"/>
        <v>0</v>
      </c>
      <c r="F115" s="31">
        <f t="shared" si="5"/>
        <v>0</v>
      </c>
      <c r="G115" s="31">
        <f t="shared" si="6"/>
        <v>0</v>
      </c>
    </row>
    <row r="116" spans="2:7" x14ac:dyDescent="0.2">
      <c r="B116" s="31">
        <v>96</v>
      </c>
      <c r="C116" s="17">
        <f>DurationM!C98</f>
        <v>0</v>
      </c>
      <c r="D116" s="32">
        <f t="shared" si="7"/>
        <v>95</v>
      </c>
      <c r="E116" s="31">
        <f t="shared" si="4"/>
        <v>0</v>
      </c>
      <c r="F116" s="31">
        <f t="shared" si="5"/>
        <v>0</v>
      </c>
      <c r="G116" s="31">
        <f t="shared" si="6"/>
        <v>0</v>
      </c>
    </row>
    <row r="117" spans="2:7" x14ac:dyDescent="0.2">
      <c r="B117" s="31">
        <v>97</v>
      </c>
      <c r="C117" s="17">
        <f>DurationM!C99</f>
        <v>0</v>
      </c>
      <c r="D117" s="32">
        <f t="shared" si="7"/>
        <v>96</v>
      </c>
      <c r="E117" s="31">
        <f t="shared" si="4"/>
        <v>0</v>
      </c>
      <c r="F117" s="31">
        <f t="shared" si="5"/>
        <v>0</v>
      </c>
      <c r="G117" s="31">
        <f t="shared" si="6"/>
        <v>0</v>
      </c>
    </row>
    <row r="118" spans="2:7" x14ac:dyDescent="0.2">
      <c r="B118" s="31">
        <v>98</v>
      </c>
      <c r="C118" s="17">
        <f>DurationM!C100</f>
        <v>0</v>
      </c>
      <c r="D118" s="32">
        <f t="shared" si="7"/>
        <v>97</v>
      </c>
      <c r="E118" s="31">
        <f t="shared" si="4"/>
        <v>0</v>
      </c>
      <c r="F118" s="31">
        <f t="shared" si="5"/>
        <v>0</v>
      </c>
      <c r="G118" s="31">
        <f t="shared" si="6"/>
        <v>0</v>
      </c>
    </row>
    <row r="119" spans="2:7" x14ac:dyDescent="0.2">
      <c r="B119" s="31">
        <v>99</v>
      </c>
      <c r="C119" s="17">
        <f>DurationM!C101</f>
        <v>0</v>
      </c>
      <c r="D119" s="32">
        <f t="shared" si="7"/>
        <v>98</v>
      </c>
      <c r="E119" s="31">
        <f t="shared" si="4"/>
        <v>0</v>
      </c>
      <c r="F119" s="31">
        <f t="shared" si="5"/>
        <v>0</v>
      </c>
      <c r="G119" s="31">
        <f t="shared" si="6"/>
        <v>0</v>
      </c>
    </row>
    <row r="120" spans="2:7" x14ac:dyDescent="0.2">
      <c r="B120" s="31">
        <v>100</v>
      </c>
      <c r="C120" s="17">
        <f>DurationM!C102</f>
        <v>0</v>
      </c>
      <c r="D120" s="32">
        <f t="shared" si="7"/>
        <v>99</v>
      </c>
      <c r="E120" s="31">
        <f t="shared" si="4"/>
        <v>0</v>
      </c>
      <c r="F120" s="31">
        <f t="shared" si="5"/>
        <v>0</v>
      </c>
      <c r="G120" s="31">
        <f t="shared" si="6"/>
        <v>0</v>
      </c>
    </row>
    <row r="121" spans="2:7" x14ac:dyDescent="0.2">
      <c r="B121" s="31">
        <v>101</v>
      </c>
      <c r="C121" s="17">
        <f>DurationM!C103</f>
        <v>0</v>
      </c>
      <c r="D121" s="32">
        <f t="shared" si="7"/>
        <v>100</v>
      </c>
      <c r="E121" s="31">
        <f t="shared" si="4"/>
        <v>0</v>
      </c>
      <c r="F121" s="31">
        <f t="shared" si="5"/>
        <v>0</v>
      </c>
      <c r="G121" s="31">
        <f t="shared" si="6"/>
        <v>0</v>
      </c>
    </row>
    <row r="122" spans="2:7" x14ac:dyDescent="0.2">
      <c r="B122" s="31">
        <v>102</v>
      </c>
      <c r="C122" s="17">
        <f>DurationM!C104</f>
        <v>0</v>
      </c>
      <c r="D122" s="32">
        <f t="shared" si="7"/>
        <v>101</v>
      </c>
      <c r="E122" s="31">
        <f t="shared" si="4"/>
        <v>0</v>
      </c>
      <c r="F122" s="31">
        <f t="shared" si="5"/>
        <v>0</v>
      </c>
      <c r="G122" s="31">
        <f t="shared" si="6"/>
        <v>0</v>
      </c>
    </row>
    <row r="123" spans="2:7" x14ac:dyDescent="0.2">
      <c r="B123" s="31">
        <v>103</v>
      </c>
      <c r="C123" s="17">
        <f>DurationM!C105</f>
        <v>0</v>
      </c>
      <c r="D123" s="32">
        <f t="shared" si="7"/>
        <v>102</v>
      </c>
      <c r="E123" s="31">
        <f t="shared" si="4"/>
        <v>0</v>
      </c>
      <c r="F123" s="31">
        <f t="shared" si="5"/>
        <v>0</v>
      </c>
      <c r="G123" s="31">
        <f t="shared" si="6"/>
        <v>0</v>
      </c>
    </row>
    <row r="124" spans="2:7" x14ac:dyDescent="0.2">
      <c r="B124" s="31">
        <v>104</v>
      </c>
      <c r="C124" s="17">
        <f>DurationM!C106</f>
        <v>0</v>
      </c>
      <c r="D124" s="32">
        <f t="shared" si="7"/>
        <v>103</v>
      </c>
      <c r="E124" s="31">
        <f t="shared" si="4"/>
        <v>0</v>
      </c>
      <c r="F124" s="31">
        <f t="shared" si="5"/>
        <v>0</v>
      </c>
      <c r="G124" s="31">
        <f t="shared" si="6"/>
        <v>0</v>
      </c>
    </row>
    <row r="125" spans="2:7" x14ac:dyDescent="0.2">
      <c r="B125" s="31">
        <v>105</v>
      </c>
      <c r="C125" s="17">
        <f>DurationM!C107</f>
        <v>0</v>
      </c>
      <c r="D125" s="32">
        <f t="shared" si="7"/>
        <v>104</v>
      </c>
      <c r="E125" s="31">
        <f t="shared" si="4"/>
        <v>0</v>
      </c>
      <c r="F125" s="31">
        <f t="shared" si="5"/>
        <v>0</v>
      </c>
      <c r="G125" s="31">
        <f t="shared" si="6"/>
        <v>0</v>
      </c>
    </row>
    <row r="126" spans="2:7" x14ac:dyDescent="0.2">
      <c r="B126" s="31">
        <v>106</v>
      </c>
      <c r="C126" s="17">
        <f>DurationM!C108</f>
        <v>0</v>
      </c>
      <c r="D126" s="32">
        <f t="shared" si="7"/>
        <v>105</v>
      </c>
      <c r="E126" s="31">
        <f t="shared" si="4"/>
        <v>0</v>
      </c>
      <c r="F126" s="31">
        <f t="shared" si="5"/>
        <v>0</v>
      </c>
      <c r="G126" s="31">
        <f t="shared" si="6"/>
        <v>0</v>
      </c>
    </row>
    <row r="127" spans="2:7" x14ac:dyDescent="0.2">
      <c r="B127" s="31">
        <v>107</v>
      </c>
      <c r="C127" s="17">
        <f>DurationM!C109</f>
        <v>0</v>
      </c>
      <c r="D127" s="32">
        <f t="shared" si="7"/>
        <v>106</v>
      </c>
      <c r="E127" s="31">
        <f t="shared" si="4"/>
        <v>0</v>
      </c>
      <c r="F127" s="31">
        <f t="shared" si="5"/>
        <v>0</v>
      </c>
      <c r="G127" s="31">
        <f t="shared" si="6"/>
        <v>0</v>
      </c>
    </row>
    <row r="128" spans="2:7" x14ac:dyDescent="0.2">
      <c r="B128" s="31">
        <v>108</v>
      </c>
      <c r="C128" s="17">
        <f>DurationM!C110</f>
        <v>0</v>
      </c>
      <c r="D128" s="32">
        <f t="shared" si="7"/>
        <v>107</v>
      </c>
      <c r="E128" s="31">
        <f t="shared" si="4"/>
        <v>0</v>
      </c>
      <c r="F128" s="31">
        <f t="shared" si="5"/>
        <v>0</v>
      </c>
      <c r="G128" s="31">
        <f t="shared" si="6"/>
        <v>0</v>
      </c>
    </row>
    <row r="129" spans="2:7" x14ac:dyDescent="0.2">
      <c r="B129" s="31">
        <v>109</v>
      </c>
      <c r="C129" s="17">
        <f>DurationM!C111</f>
        <v>0</v>
      </c>
      <c r="D129" s="32">
        <f t="shared" si="7"/>
        <v>108</v>
      </c>
      <c r="E129" s="31">
        <f t="shared" si="4"/>
        <v>0</v>
      </c>
      <c r="F129" s="31">
        <f t="shared" si="5"/>
        <v>0</v>
      </c>
      <c r="G129" s="31">
        <f t="shared" si="6"/>
        <v>0</v>
      </c>
    </row>
    <row r="130" spans="2:7" x14ac:dyDescent="0.2">
      <c r="B130" s="31">
        <v>110</v>
      </c>
      <c r="C130" s="17">
        <f>DurationM!C112</f>
        <v>0</v>
      </c>
      <c r="D130" s="32">
        <f t="shared" si="7"/>
        <v>109</v>
      </c>
      <c r="E130" s="31">
        <f t="shared" si="4"/>
        <v>0</v>
      </c>
      <c r="F130" s="31">
        <f t="shared" si="5"/>
        <v>0</v>
      </c>
      <c r="G130" s="31">
        <f t="shared" si="6"/>
        <v>0</v>
      </c>
    </row>
    <row r="131" spans="2:7" x14ac:dyDescent="0.2">
      <c r="B131" s="31">
        <v>111</v>
      </c>
      <c r="C131" s="17">
        <f>DurationM!C113</f>
        <v>0</v>
      </c>
      <c r="D131" s="32">
        <f t="shared" si="7"/>
        <v>110</v>
      </c>
      <c r="E131" s="31">
        <f t="shared" si="4"/>
        <v>0</v>
      </c>
      <c r="F131" s="31">
        <f t="shared" si="5"/>
        <v>0</v>
      </c>
      <c r="G131" s="31">
        <f t="shared" si="6"/>
        <v>0</v>
      </c>
    </row>
    <row r="132" spans="2:7" x14ac:dyDescent="0.2">
      <c r="B132" s="31">
        <v>112</v>
      </c>
      <c r="C132" s="17">
        <f>DurationM!C114</f>
        <v>0</v>
      </c>
      <c r="D132" s="32">
        <f t="shared" si="7"/>
        <v>111</v>
      </c>
      <c r="E132" s="31">
        <f t="shared" si="4"/>
        <v>0</v>
      </c>
      <c r="F132" s="31">
        <f t="shared" si="5"/>
        <v>0</v>
      </c>
      <c r="G132" s="31">
        <f t="shared" si="6"/>
        <v>0</v>
      </c>
    </row>
    <row r="133" spans="2:7" x14ac:dyDescent="0.2">
      <c r="B133" s="31">
        <v>113</v>
      </c>
      <c r="C133" s="17">
        <f>DurationM!C115</f>
        <v>0</v>
      </c>
      <c r="D133" s="32">
        <f t="shared" si="7"/>
        <v>112</v>
      </c>
      <c r="E133" s="31">
        <f t="shared" si="4"/>
        <v>0</v>
      </c>
      <c r="F133" s="31">
        <f t="shared" si="5"/>
        <v>0</v>
      </c>
      <c r="G133" s="31">
        <f t="shared" si="6"/>
        <v>0</v>
      </c>
    </row>
    <row r="134" spans="2:7" x14ac:dyDescent="0.2">
      <c r="B134" s="31">
        <v>114</v>
      </c>
      <c r="C134" s="17">
        <f>DurationM!C116</f>
        <v>0</v>
      </c>
      <c r="D134" s="32">
        <f t="shared" si="7"/>
        <v>113</v>
      </c>
      <c r="E134" s="31">
        <f t="shared" si="4"/>
        <v>0</v>
      </c>
      <c r="F134" s="31">
        <f t="shared" si="5"/>
        <v>0</v>
      </c>
      <c r="G134" s="31">
        <f t="shared" si="6"/>
        <v>0</v>
      </c>
    </row>
    <row r="135" spans="2:7" x14ac:dyDescent="0.2">
      <c r="B135" s="31">
        <v>115</v>
      </c>
      <c r="C135" s="17">
        <f>DurationM!C117</f>
        <v>0</v>
      </c>
      <c r="D135" s="32">
        <f t="shared" si="7"/>
        <v>114</v>
      </c>
      <c r="E135" s="31">
        <f t="shared" si="4"/>
        <v>0</v>
      </c>
      <c r="F135" s="31">
        <f t="shared" si="5"/>
        <v>0</v>
      </c>
      <c r="G135" s="31">
        <f t="shared" si="6"/>
        <v>0</v>
      </c>
    </row>
    <row r="136" spans="2:7" x14ac:dyDescent="0.2">
      <c r="B136" s="31">
        <v>116</v>
      </c>
      <c r="C136" s="17">
        <f>DurationM!C118</f>
        <v>0</v>
      </c>
      <c r="D136" s="32">
        <f t="shared" si="7"/>
        <v>115</v>
      </c>
      <c r="E136" s="31">
        <f t="shared" si="4"/>
        <v>0</v>
      </c>
      <c r="F136" s="31">
        <f t="shared" si="5"/>
        <v>0</v>
      </c>
      <c r="G136" s="31">
        <f t="shared" si="6"/>
        <v>0</v>
      </c>
    </row>
    <row r="137" spans="2:7" x14ac:dyDescent="0.2">
      <c r="B137" s="31">
        <v>117</v>
      </c>
      <c r="C137" s="17">
        <f>DurationM!C119</f>
        <v>0</v>
      </c>
      <c r="D137" s="32">
        <f t="shared" si="7"/>
        <v>116</v>
      </c>
      <c r="E137" s="31">
        <f t="shared" si="4"/>
        <v>0</v>
      </c>
      <c r="F137" s="31">
        <f t="shared" si="5"/>
        <v>0</v>
      </c>
      <c r="G137" s="31">
        <f t="shared" si="6"/>
        <v>0</v>
      </c>
    </row>
    <row r="138" spans="2:7" x14ac:dyDescent="0.2">
      <c r="B138" s="31">
        <v>118</v>
      </c>
      <c r="C138" s="17">
        <f>DurationM!C120</f>
        <v>0</v>
      </c>
      <c r="D138" s="32">
        <f t="shared" si="7"/>
        <v>117</v>
      </c>
      <c r="E138" s="31">
        <f t="shared" si="4"/>
        <v>0</v>
      </c>
      <c r="F138" s="31">
        <f t="shared" si="5"/>
        <v>0</v>
      </c>
      <c r="G138" s="31">
        <f t="shared" si="6"/>
        <v>0</v>
      </c>
    </row>
    <row r="139" spans="2:7" x14ac:dyDescent="0.2">
      <c r="B139" s="31">
        <v>119</v>
      </c>
      <c r="C139" s="17">
        <f>DurationM!C121</f>
        <v>0</v>
      </c>
      <c r="D139" s="32">
        <f t="shared" si="7"/>
        <v>118</v>
      </c>
      <c r="E139" s="31">
        <f t="shared" si="4"/>
        <v>0</v>
      </c>
      <c r="F139" s="31">
        <f t="shared" si="5"/>
        <v>0</v>
      </c>
      <c r="G139" s="31">
        <f t="shared" si="6"/>
        <v>0</v>
      </c>
    </row>
    <row r="140" spans="2:7" x14ac:dyDescent="0.2">
      <c r="B140" s="31">
        <v>120</v>
      </c>
      <c r="C140" s="17">
        <f>DurationM!C122</f>
        <v>0</v>
      </c>
      <c r="D140" s="32">
        <f t="shared" si="7"/>
        <v>119</v>
      </c>
      <c r="E140" s="31">
        <f t="shared" si="4"/>
        <v>0</v>
      </c>
      <c r="F140" s="31">
        <f t="shared" si="5"/>
        <v>0</v>
      </c>
      <c r="G140" s="31">
        <f t="shared" si="6"/>
        <v>0</v>
      </c>
    </row>
  </sheetData>
  <mergeCells count="4">
    <mergeCell ref="B2:G2"/>
    <mergeCell ref="B7:G7"/>
    <mergeCell ref="B14:G14"/>
    <mergeCell ref="E18:G18"/>
  </mergeCells>
  <dataValidations count="1">
    <dataValidation allowBlank="1" showInputMessage="1" showErrorMessage="1" errorTitle="DR" error="It needs to be between 0% and 15%" promptTitle="Discount Rate" prompt="It should be between 0% and 15%. The default is 5%." sqref="G4" xr:uid="{7E4722C0-8BA4-2948-B9C9-41B3B4457A97}"/>
  </dataValidations>
  <pageMargins left="0.7" right="0.7" top="0.75" bottom="0.75" header="0.3" footer="0.3"/>
  <pageSetup scale="88" fitToHeight="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DurationM</vt:lpstr>
      <vt:lpstr>CalcM</vt:lpstr>
      <vt:lpstr>CalcM!Print_Titles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Symphony A Hopkins</dc:creator>
  <cp:lastModifiedBy>Symphony A Hopkins</cp:lastModifiedBy>
  <dcterms:created xsi:type="dcterms:W3CDTF">2023-11-24T22:19:20Z</dcterms:created>
  <dcterms:modified xsi:type="dcterms:W3CDTF">2023-11-26T00:59:00Z</dcterms:modified>
</cp:coreProperties>
</file>